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DB3A4269-D03E-420C-9647-8053FEAA9A0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w Data" sheetId="1" r:id="rId1"/>
    <sheet name="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2" l="1" a="1"/>
  <c r="B44" i="2"/>
  <c r="C44" i="2" a="1"/>
  <c r="C44" i="2"/>
  <c r="D44" i="2" a="1"/>
  <c r="D44" i="2"/>
  <c r="E44" i="2" a="1"/>
  <c r="E44" i="2"/>
  <c r="B45" i="2" a="1"/>
  <c r="B45" i="2"/>
  <c r="C45" i="2" a="1"/>
  <c r="C45" i="2"/>
  <c r="D45" i="2" a="1"/>
  <c r="D45" i="2"/>
  <c r="E45" i="2" a="1"/>
  <c r="E45" i="2"/>
  <c r="F45" i="2"/>
  <c r="B46" i="2" a="1"/>
  <c r="B46" i="2"/>
  <c r="C46" i="2" a="1"/>
  <c r="C46" i="2"/>
  <c r="D46" i="2" a="1"/>
  <c r="D46" i="2"/>
  <c r="E46" i="2" a="1"/>
  <c r="E46" i="2"/>
  <c r="F46" i="2"/>
  <c r="B47" i="2" a="1"/>
  <c r="B47" i="2"/>
  <c r="C47" i="2" a="1"/>
  <c r="C47" i="2"/>
  <c r="D47" i="2" a="1"/>
  <c r="D47" i="2"/>
  <c r="E47" i="2" a="1"/>
  <c r="E47" i="2"/>
  <c r="F47" i="2"/>
  <c r="B48" i="2" a="1"/>
  <c r="B48" i="2"/>
  <c r="C48" i="2" a="1"/>
  <c r="C48" i="2"/>
  <c r="D48" i="2" a="1"/>
  <c r="D48" i="2"/>
  <c r="E48" i="2" a="1"/>
  <c r="E48" i="2"/>
  <c r="F48" i="2"/>
  <c r="B49" i="2" a="1"/>
  <c r="B49" i="2"/>
  <c r="C49" i="2" a="1"/>
  <c r="C49" i="2"/>
  <c r="D49" i="2" a="1"/>
  <c r="D49" i="2"/>
  <c r="E49" i="2" a="1"/>
  <c r="E49" i="2"/>
  <c r="F49" i="2"/>
  <c r="B50" i="2" a="1"/>
  <c r="B50" i="2"/>
  <c r="C50" i="2" a="1"/>
  <c r="C50" i="2"/>
  <c r="D50" i="2" a="1"/>
  <c r="D50" i="2"/>
  <c r="E50" i="2" a="1"/>
  <c r="E50" i="2"/>
  <c r="F50" i="2"/>
  <c r="B51" i="2" a="1"/>
  <c r="B51" i="2"/>
  <c r="C51" i="2" a="1"/>
  <c r="C51" i="2"/>
  <c r="D51" i="2" a="1"/>
  <c r="D51" i="2"/>
  <c r="E51" i="2" a="1"/>
  <c r="E51" i="2"/>
  <c r="F51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F8" i="2" a="1"/>
  <c r="F8" i="2"/>
  <c r="F9" i="2" a="1"/>
  <c r="F9" i="2"/>
  <c r="F10" i="2" a="1"/>
  <c r="F10" i="2"/>
  <c r="F11" i="2" a="1"/>
  <c r="F11" i="2"/>
  <c r="F12" i="2" a="1"/>
  <c r="F12" i="2"/>
  <c r="F13" i="2" a="1"/>
  <c r="F13" i="2"/>
  <c r="F14" i="2" a="1"/>
  <c r="F14" i="2"/>
  <c r="F15" i="2" a="1"/>
  <c r="F15" i="2"/>
  <c r="F16" i="2" a="1"/>
  <c r="F16" i="2"/>
  <c r="F17" i="2" a="1"/>
  <c r="F17" i="2"/>
  <c r="F18" i="2" a="1"/>
  <c r="F18" i="2"/>
  <c r="F19" i="2" a="1"/>
  <c r="F19" i="2"/>
  <c r="F20" i="2" a="1"/>
  <c r="F20" i="2"/>
  <c r="F21" i="2" a="1"/>
  <c r="F21" i="2"/>
  <c r="F22" i="2" a="1"/>
  <c r="F22" i="2"/>
  <c r="F23" i="2" a="1"/>
  <c r="F23" i="2"/>
  <c r="F24" i="2" a="1"/>
  <c r="F24" i="2"/>
  <c r="F25" i="2" a="1"/>
  <c r="F25" i="2"/>
  <c r="F26" i="2" a="1"/>
  <c r="F26" i="2"/>
  <c r="F27" i="2" a="1"/>
  <c r="F27" i="2"/>
  <c r="F28" i="2" a="1"/>
  <c r="F28" i="2"/>
  <c r="F29" i="2" a="1"/>
  <c r="F29" i="2"/>
  <c r="F30" i="2" a="1"/>
  <c r="F30" i="2"/>
  <c r="F31" i="2" a="1"/>
  <c r="F31" i="2"/>
  <c r="F32" i="2" a="1"/>
  <c r="F32" i="2"/>
  <c r="F33" i="2" a="1"/>
  <c r="F33" i="2"/>
  <c r="F34" i="2" a="1"/>
  <c r="F34" i="2"/>
  <c r="F35" i="2" a="1"/>
  <c r="F35" i="2"/>
  <c r="F36" i="2" a="1"/>
  <c r="F36" i="2"/>
  <c r="F37" i="2" a="1"/>
  <c r="F37" i="2"/>
  <c r="F38" i="2" a="1"/>
  <c r="F38" i="2"/>
  <c r="F39" i="2" a="1"/>
  <c r="F39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D14" i="2" a="1"/>
  <c r="D14" i="2"/>
  <c r="D15" i="2" a="1"/>
  <c r="D15" i="2"/>
  <c r="D16" i="2" a="1"/>
  <c r="D16" i="2"/>
  <c r="D17" i="2" a="1"/>
  <c r="D17" i="2"/>
  <c r="D18" i="2" a="1"/>
  <c r="D18" i="2"/>
  <c r="D19" i="2" a="1"/>
  <c r="D19" i="2"/>
  <c r="D20" i="2" a="1"/>
  <c r="D20" i="2"/>
  <c r="D21" i="2" a="1"/>
  <c r="D21" i="2"/>
  <c r="D22" i="2" a="1"/>
  <c r="D22" i="2"/>
  <c r="D23" i="2" a="1"/>
  <c r="D23" i="2"/>
  <c r="D24" i="2" a="1"/>
  <c r="D24" i="2"/>
  <c r="D25" i="2" a="1"/>
  <c r="D25" i="2"/>
  <c r="D26" i="2" a="1"/>
  <c r="D26" i="2"/>
  <c r="D27" i="2" a="1"/>
  <c r="D27" i="2"/>
  <c r="D28" i="2" a="1"/>
  <c r="D28" i="2"/>
  <c r="D29" i="2" a="1"/>
  <c r="D29" i="2"/>
  <c r="D30" i="2" a="1"/>
  <c r="D30" i="2"/>
  <c r="D31" i="2" a="1"/>
  <c r="D31" i="2"/>
  <c r="D32" i="2" a="1"/>
  <c r="D32" i="2"/>
  <c r="D33" i="2" a="1"/>
  <c r="D33" i="2"/>
  <c r="D34" i="2" a="1"/>
  <c r="D34" i="2"/>
  <c r="D35" i="2" a="1"/>
  <c r="D35" i="2"/>
  <c r="D36" i="2" a="1"/>
  <c r="D36" i="2"/>
  <c r="D37" i="2" a="1"/>
  <c r="D37" i="2"/>
  <c r="D38" i="2" a="1"/>
  <c r="D38" i="2"/>
  <c r="D39" i="2" a="1"/>
  <c r="D39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<sst xmlns="http://schemas.openxmlformats.org/spreadsheetml/2006/main" count="840" uniqueCount="220">
  <si>
    <t>Transaction_ID</t>
  </si>
  <si>
    <t>Year</t>
  </si>
  <si>
    <t>Quarter</t>
  </si>
  <si>
    <t>Product</t>
  </si>
  <si>
    <t>Revenue</t>
  </si>
  <si>
    <t>Cost</t>
  </si>
  <si>
    <t>Profit</t>
  </si>
  <si>
    <t>TXN-1000</t>
  </si>
  <si>
    <t>2023</t>
  </si>
  <si>
    <t>Q1</t>
  </si>
  <si>
    <t>Widget Pro</t>
  </si>
  <si>
    <t>TXN-1001</t>
  </si>
  <si>
    <t>TXN-1002</t>
  </si>
  <si>
    <t>TXN-1003</t>
  </si>
  <si>
    <t>TXN-1004</t>
  </si>
  <si>
    <t>Widget Standard</t>
  </si>
  <si>
    <t>TXN-1005</t>
  </si>
  <si>
    <t>TXN-1006</t>
  </si>
  <si>
    <t>TXN-1007</t>
  </si>
  <si>
    <t>TXN-1008</t>
  </si>
  <si>
    <t>Service Package</t>
  </si>
  <si>
    <t>TXN-1009</t>
  </si>
  <si>
    <t>TXN-1010</t>
  </si>
  <si>
    <t>TXN-1011</t>
  </si>
  <si>
    <t>TXN-1012</t>
  </si>
  <si>
    <t>TXN-1013</t>
  </si>
  <si>
    <t>TXN-1014</t>
  </si>
  <si>
    <t>TXN-1015</t>
  </si>
  <si>
    <t>TXN-1016</t>
  </si>
  <si>
    <t>Accessory Kit</t>
  </si>
  <si>
    <t>TXN-1017</t>
  </si>
  <si>
    <t>TXN-1018</t>
  </si>
  <si>
    <t>TXN-1019</t>
  </si>
  <si>
    <t>TXN-1020</t>
  </si>
  <si>
    <t>TXN-1021</t>
  </si>
  <si>
    <t>TXN-1022</t>
  </si>
  <si>
    <t>Q2</t>
  </si>
  <si>
    <t>TXN-1023</t>
  </si>
  <si>
    <t>TXN-1024</t>
  </si>
  <si>
    <t>TXN-1025</t>
  </si>
  <si>
    <t>TXN-1026</t>
  </si>
  <si>
    <t>TXN-1027</t>
  </si>
  <si>
    <t>TXN-1028</t>
  </si>
  <si>
    <t>TXN-1029</t>
  </si>
  <si>
    <t>TXN-1030</t>
  </si>
  <si>
    <t>TXN-1031</t>
  </si>
  <si>
    <t>TXN-1032</t>
  </si>
  <si>
    <t>TXN-1033</t>
  </si>
  <si>
    <t>TXN-1034</t>
  </si>
  <si>
    <t>TXN-1035</t>
  </si>
  <si>
    <t>TXN-1036</t>
  </si>
  <si>
    <t>TXN-1037</t>
  </si>
  <si>
    <t>TXN-1038</t>
  </si>
  <si>
    <t>TXN-1039</t>
  </si>
  <si>
    <t>TXN-1040</t>
  </si>
  <si>
    <t>TXN-1041</t>
  </si>
  <si>
    <t>TXN-1042</t>
  </si>
  <si>
    <t>TXN-1043</t>
  </si>
  <si>
    <t>TXN-1044</t>
  </si>
  <si>
    <t>TXN-1045</t>
  </si>
  <si>
    <t>TXN-1046</t>
  </si>
  <si>
    <t>TXN-1047</t>
  </si>
  <si>
    <t>TXN-1048</t>
  </si>
  <si>
    <t>TXN-1049</t>
  </si>
  <si>
    <t>Q3</t>
  </si>
  <si>
    <t>TXN-1050</t>
  </si>
  <si>
    <t>TXN-1051</t>
  </si>
  <si>
    <t>TXN-1052</t>
  </si>
  <si>
    <t>TXN-1053</t>
  </si>
  <si>
    <t>TXN-1054</t>
  </si>
  <si>
    <t>TXN-1055</t>
  </si>
  <si>
    <t>TXN-1056</t>
  </si>
  <si>
    <t>TXN-1057</t>
  </si>
  <si>
    <t>TXN-1058</t>
  </si>
  <si>
    <t>TXN-1059</t>
  </si>
  <si>
    <t>TXN-1060</t>
  </si>
  <si>
    <t>TXN-1061</t>
  </si>
  <si>
    <t>TXN-1062</t>
  </si>
  <si>
    <t>TXN-1063</t>
  </si>
  <si>
    <t>TXN-1064</t>
  </si>
  <si>
    <t>TXN-1065</t>
  </si>
  <si>
    <t>TXN-1066</t>
  </si>
  <si>
    <t>TXN-1067</t>
  </si>
  <si>
    <t>TXN-1068</t>
  </si>
  <si>
    <t>TXN-1069</t>
  </si>
  <si>
    <t>TXN-1070</t>
  </si>
  <si>
    <t>TXN-1071</t>
  </si>
  <si>
    <t>Q4</t>
  </si>
  <si>
    <t>TXN-1072</t>
  </si>
  <si>
    <t>TXN-1073</t>
  </si>
  <si>
    <t>TXN-1074</t>
  </si>
  <si>
    <t>TXN-1075</t>
  </si>
  <si>
    <t>TXN-1076</t>
  </si>
  <si>
    <t>TXN-1077</t>
  </si>
  <si>
    <t>TXN-1078</t>
  </si>
  <si>
    <t>TXN-1079</t>
  </si>
  <si>
    <t>TXN-1080</t>
  </si>
  <si>
    <t>TXN-1081</t>
  </si>
  <si>
    <t>TXN-1082</t>
  </si>
  <si>
    <t>TXN-1083</t>
  </si>
  <si>
    <t>TXN-1084</t>
  </si>
  <si>
    <t>TXN-1085</t>
  </si>
  <si>
    <t>TXN-1086</t>
  </si>
  <si>
    <t>TXN-1087</t>
  </si>
  <si>
    <t>TXN-1088</t>
  </si>
  <si>
    <t>TXN-1089</t>
  </si>
  <si>
    <t>TXN-1090</t>
  </si>
  <si>
    <t>TXN-1091</t>
  </si>
  <si>
    <t>TXN-1092</t>
  </si>
  <si>
    <t>TXN-1093</t>
  </si>
  <si>
    <t>TXN-1094</t>
  </si>
  <si>
    <t>2024</t>
  </si>
  <si>
    <t>TXN-1095</t>
  </si>
  <si>
    <t>TXN-1096</t>
  </si>
  <si>
    <t>TXN-1097</t>
  </si>
  <si>
    <t>TXN-1098</t>
  </si>
  <si>
    <t>TXN-1099</t>
  </si>
  <si>
    <t>TXN-1100</t>
  </si>
  <si>
    <t>TXN-1101</t>
  </si>
  <si>
    <t>TXN-1102</t>
  </si>
  <si>
    <t>TXN-1103</t>
  </si>
  <si>
    <t>TXN-1104</t>
  </si>
  <si>
    <t>TXN-1105</t>
  </si>
  <si>
    <t>TXN-1106</t>
  </si>
  <si>
    <t>TXN-1107</t>
  </si>
  <si>
    <t>TXN-1108</t>
  </si>
  <si>
    <t>TXN-1109</t>
  </si>
  <si>
    <t>TXN-1110</t>
  </si>
  <si>
    <t>TXN-1111</t>
  </si>
  <si>
    <t>TXN-1112</t>
  </si>
  <si>
    <t>TXN-1113</t>
  </si>
  <si>
    <t>TXN-1114</t>
  </si>
  <si>
    <t>TXN-1115</t>
  </si>
  <si>
    <t>TXN-1116</t>
  </si>
  <si>
    <t>TXN-1117</t>
  </si>
  <si>
    <t>TXN-1118</t>
  </si>
  <si>
    <t>TXN-1119</t>
  </si>
  <si>
    <t>TXN-1120</t>
  </si>
  <si>
    <t>TXN-1121</t>
  </si>
  <si>
    <t>TXN-1122</t>
  </si>
  <si>
    <t>TXN-1123</t>
  </si>
  <si>
    <t>TXN-1124</t>
  </si>
  <si>
    <t>TXN-1125</t>
  </si>
  <si>
    <t>TXN-1126</t>
  </si>
  <si>
    <t>TXN-1127</t>
  </si>
  <si>
    <t>TXN-1128</t>
  </si>
  <si>
    <t>TXN-1129</t>
  </si>
  <si>
    <t>TXN-1130</t>
  </si>
  <si>
    <t>TXN-1131</t>
  </si>
  <si>
    <t>TXN-1132</t>
  </si>
  <si>
    <t>TXN-1133</t>
  </si>
  <si>
    <t>TXN-1134</t>
  </si>
  <si>
    <t>TXN-1135</t>
  </si>
  <si>
    <t>TXN-1136</t>
  </si>
  <si>
    <t>TXN-1137</t>
  </si>
  <si>
    <t>TXN-1138</t>
  </si>
  <si>
    <t>TXN-1139</t>
  </si>
  <si>
    <t>TXN-1140</t>
  </si>
  <si>
    <t>TXN-1141</t>
  </si>
  <si>
    <t>TXN-1142</t>
  </si>
  <si>
    <t>TXN-1143</t>
  </si>
  <si>
    <t>TXN-1144</t>
  </si>
  <si>
    <t>TXN-1145</t>
  </si>
  <si>
    <t>TXN-1146</t>
  </si>
  <si>
    <t>TXN-1147</t>
  </si>
  <si>
    <t>TXN-1148</t>
  </si>
  <si>
    <t>TXN-1149</t>
  </si>
  <si>
    <t>TXN-1150</t>
  </si>
  <si>
    <t>TXN-1151</t>
  </si>
  <si>
    <t>TXN-1152</t>
  </si>
  <si>
    <t>TXN-1153</t>
  </si>
  <si>
    <t>TXN-1154</t>
  </si>
  <si>
    <t>TXN-1155</t>
  </si>
  <si>
    <t>TXN-1156</t>
  </si>
  <si>
    <t>TXN-1157</t>
  </si>
  <si>
    <t>TXN-1158</t>
  </si>
  <si>
    <t>TXN-1159</t>
  </si>
  <si>
    <t>TXN-1160</t>
  </si>
  <si>
    <t>TXN-1161</t>
  </si>
  <si>
    <t>TXN-1162</t>
  </si>
  <si>
    <t>TXN-1163</t>
  </si>
  <si>
    <t>TXN-1164</t>
  </si>
  <si>
    <t>TXN-1165</t>
  </si>
  <si>
    <t>TXN-1166</t>
  </si>
  <si>
    <t>TXN-1167</t>
  </si>
  <si>
    <t>TXN-1168</t>
  </si>
  <si>
    <t>TXN-1169</t>
  </si>
  <si>
    <t>TXN-1170</t>
  </si>
  <si>
    <t>TXN-1171</t>
  </si>
  <si>
    <t>TXN-1172</t>
  </si>
  <si>
    <t>TXN-1173</t>
  </si>
  <si>
    <t>TXN-1174</t>
  </si>
  <si>
    <t>TXN-1175</t>
  </si>
  <si>
    <t>TXN-1176</t>
  </si>
  <si>
    <t>TXN-1177</t>
  </si>
  <si>
    <t>TXN-1178</t>
  </si>
  <si>
    <t>TXN-1179</t>
  </si>
  <si>
    <t>TXN-1180</t>
  </si>
  <si>
    <t>TXN-1181</t>
  </si>
  <si>
    <t>TXN-1182</t>
  </si>
  <si>
    <t>TXN-1183</t>
  </si>
  <si>
    <t>TXN-1184</t>
  </si>
  <si>
    <t>TXN-1185</t>
  </si>
  <si>
    <t>Executive Sales Performance Dashboard</t>
  </si>
  <si>
    <t>Instructions: Complete the analysis below using the Raw Data tab. All calculations should use formulas.</t>
  </si>
  <si>
    <t>Quarterly Performance Summary</t>
  </si>
  <si>
    <t>Total Revenue</t>
  </si>
  <si>
    <t>Weighted Avg Margin</t>
  </si>
  <si>
    <t>Rolling 3-Mo Trend</t>
  </si>
  <si>
    <t>YoY Margin Delta</t>
  </si>
  <si>
    <t>Margin Health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</si>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</sst>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&quot;$&quot;#,##0"/>
    <numFmt numFmtId="166" formatCode="0.0%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4" fillId="0" borderId="0" xfId="0" applyFont="1"/>
    <xf numFmtId="0" fontId="1" fillId="2" borderId="0" xfId="0" applyFont="1" applyFill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0" fontId="3" fillId="0" borderId="0" xfId="0" applyFont="1" applyAlignment="1"/>
    <xf numFmtId="0" fontId="0" fillId="0" borderId="0" xfId="0" applyAlignment="1"/>
    <xf numFmtId="166" fontId="0" fillId="0" borderId="0" xfId="0" applyNumberFormat="1" applyAlignment="1"/>
    <xf numFmtId="0" fontId="2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Margin Trends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Dashboard!$B$43</c:f>
              <c:strCache>
                <c:ptCount val="1"/>
                <c:pt idx="0">
                  <c:v>Widget Pro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Dashboard!$B$44:$B$51</c:f>
              <c:numCache>
                <c:formatCode>0.0%</c:formatCode>
                <c:ptCount val="8"/>
                <c:pt idx="0">
                  <c:v>0.37630713463260695</c:v>
                </c:pt>
                <c:pt idx="1">
                  <c:v>0.35548514277796672</c:v>
                </c:pt>
                <c:pt idx="2">
                  <c:v>0.36162634408602157</c:v>
                </c:pt>
                <c:pt idx="3">
                  <c:v>0.38824431663960912</c:v>
                </c:pt>
                <c:pt idx="4">
                  <c:v>0.39270096031450513</c:v>
                </c:pt>
                <c:pt idx="5">
                  <c:v>0.41061813322079205</c:v>
                </c:pt>
                <c:pt idx="6">
                  <c:v>0.40558333800241431</c:v>
                </c:pt>
                <c:pt idx="7">
                  <c:v>0.3982755448808033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6-487F-A9B5-E273064ADF2F}"/>
            </c:ext>
          </c:extLst>
        </c:ser>
        <c:ser>
          <c:idx val="1"/>
          <c:order val="1"/>
          <c:tx>
            <c:strRef>
              <c:f>Dashboard!$C$43</c:f>
              <c:strCache>
                <c:ptCount val="1"/>
                <c:pt idx="0">
                  <c:v>Widget 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Dashboard!$C$44:$C$51</c:f>
              <c:numCache>
                <c:formatCode>0.0%</c:formatCode>
                <c:ptCount val="8"/>
                <c:pt idx="0">
                  <c:v>0.26717364420792289</c:v>
                </c:pt>
                <c:pt idx="1">
                  <c:v>0.26956881955888656</c:v>
                </c:pt>
                <c:pt idx="2">
                  <c:v>0.27581990909463167</c:v>
                </c:pt>
                <c:pt idx="3">
                  <c:v>0.29905670194758582</c:v>
                </c:pt>
                <c:pt idx="4">
                  <c:v>0.29513703180798934</c:v>
                </c:pt>
                <c:pt idx="5">
                  <c:v>0.30790754538534293</c:v>
                </c:pt>
                <c:pt idx="6">
                  <c:v>0.32837754890700604</c:v>
                </c:pt>
                <c:pt idx="7">
                  <c:v>0.31844897339941336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B6-487F-A9B5-E273064ADF2F}"/>
            </c:ext>
          </c:extLst>
        </c:ser>
        <c:ser>
          <c:idx val="2"/>
          <c:order val="2"/>
          <c:tx>
            <c:strRef>
              <c:f>Dashboard!$D$43</c:f>
              <c:strCache>
                <c:ptCount val="1"/>
                <c:pt idx="0">
                  <c:v>Service Package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Dashboard!$D$44:$D$51</c:f>
              <c:numCache>
                <c:formatCode>0.0%</c:formatCode>
                <c:ptCount val="8"/>
                <c:pt idx="0">
                  <c:v>0.39424927886852146</c:v>
                </c:pt>
                <c:pt idx="1">
                  <c:v>0.47396217130924229</c:v>
                </c:pt>
                <c:pt idx="2">
                  <c:v>0.44135011009751496</c:v>
                </c:pt>
                <c:pt idx="3">
                  <c:v>0.39682712538438419</c:v>
                </c:pt>
                <c:pt idx="4">
                  <c:v>0.42219206974128232</c:v>
                </c:pt>
                <c:pt idx="5">
                  <c:v>0.50069339678361102</c:v>
                </c:pt>
                <c:pt idx="6">
                  <c:v>0.44809205667668522</c:v>
                </c:pt>
                <c:pt idx="7">
                  <c:v>0.50698814887969879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B6-487F-A9B5-E273064ADF2F}"/>
            </c:ext>
          </c:extLst>
        </c:ser>
        <c:ser>
          <c:idx val="3"/>
          <c:order val="3"/>
          <c:tx>
            <c:strRef>
              <c:f>Dashboard!$E$43</c:f>
              <c:strCache>
                <c:ptCount val="1"/>
                <c:pt idx="0">
                  <c:v>Accessory Kit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Dashboard!$E$44:$E$51</c:f>
              <c:numCache>
                <c:formatCode>0.0%</c:formatCode>
                <c:ptCount val="8"/>
                <c:pt idx="0">
                  <c:v>0.18221599017623047</c:v>
                </c:pt>
                <c:pt idx="1">
                  <c:v>0.18293272306708008</c:v>
                </c:pt>
                <c:pt idx="2">
                  <c:v>0.17840851495184998</c:v>
                </c:pt>
                <c:pt idx="3">
                  <c:v>0.19335275382583703</c:v>
                </c:pt>
                <c:pt idx="4">
                  <c:v>0.19668577261306536</c:v>
                </c:pt>
                <c:pt idx="5">
                  <c:v>0.21247086688773095</c:v>
                </c:pt>
                <c:pt idx="6">
                  <c:v>0.21671744057344652</c:v>
                </c:pt>
                <c:pt idx="7">
                  <c:v>0.18999657495147845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B6-487F-A9B5-E273064AD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338567"/>
        <c:axId val="542344711"/>
      </c:barChart>
      <c:lineChart>
        <c:grouping val="standard"/>
        <c:varyColors val="0"/>
        <c:ser>
          <c:idx val="4"/>
          <c:order val="4"/>
          <c:tx>
            <c:strRef>
              <c:f>Dashboard!$F$43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Dashboard!$F$44:$F$51</c:f>
              <c:numCache>
                <c:formatCode>General</c:formatCode>
                <c:ptCount val="8"/>
                <c:pt idx="1">
                  <c:v>371333</c:v>
                </c:pt>
                <c:pt idx="2">
                  <c:v>354408</c:v>
                </c:pt>
                <c:pt idx="3">
                  <c:v>403216</c:v>
                </c:pt>
                <c:pt idx="4">
                  <c:v>472182</c:v>
                </c:pt>
                <c:pt idx="5">
                  <c:v>309241</c:v>
                </c:pt>
                <c:pt idx="6">
                  <c:v>326636</c:v>
                </c:pt>
                <c:pt idx="7">
                  <c:v>335484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7B6-487F-A9B5-E273064AD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2467591"/>
        <c:axId val="542453255"/>
      </c:lineChart>
      <c:catAx>
        <c:axId val="542338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44711"/>
        <c:crosses val="autoZero"/>
        <c:auto val="1"/>
        <c:lblAlgn val="ctr"/>
        <c:lblOffset val="100"/>
        <c:noMultiLvlLbl val="0"/>
      </c:catAx>
      <c:valAx>
        <c:axId val="542344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38567"/>
        <c:crosses val="autoZero"/>
        <c:crossBetween val="between"/>
      </c:valAx>
      <c:valAx>
        <c:axId val="5424532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467591"/>
        <c:crosses val="max"/>
        <c:crossBetween val="between"/>
      </c:valAx>
      <c:catAx>
        <c:axId val="542467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2453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8</xdr:col>
      <xdr:colOff>0</xdr:colOff>
      <xdr:row>75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47AFC-FC87-7A94-28A2-9DA2B258A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tabSelected="1" workbookViewId="0"/>
  </sheetViews>
  <sheetFormatPr defaultRowHeight="15"/>
  <cols>
    <col min="1" max="1" width="14" customWidth="1"/>
    <col min="2" max="2" width="8" customWidth="1"/>
    <col min="3" max="3" width="10" customWidth="1"/>
    <col min="4" max="4" width="18" customWidth="1"/>
    <col min="5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15819</v>
      </c>
      <c r="F2" s="2">
        <v>9196.41</v>
      </c>
      <c r="G2" s="2">
        <v>6622.59</v>
      </c>
    </row>
    <row r="3" spans="1:7">
      <c r="A3" t="s">
        <v>11</v>
      </c>
      <c r="B3" t="s">
        <v>8</v>
      </c>
      <c r="C3" t="s">
        <v>9</v>
      </c>
      <c r="D3" t="s">
        <v>10</v>
      </c>
      <c r="E3" s="2">
        <v>23024</v>
      </c>
      <c r="F3" s="2">
        <v>15294.53</v>
      </c>
      <c r="G3" s="2">
        <v>7729.47</v>
      </c>
    </row>
    <row r="4" spans="1:7">
      <c r="A4" t="s">
        <v>12</v>
      </c>
      <c r="B4" t="s">
        <v>8</v>
      </c>
      <c r="C4" t="s">
        <v>9</v>
      </c>
      <c r="D4" t="s">
        <v>10</v>
      </c>
      <c r="E4" s="2">
        <v>39132</v>
      </c>
      <c r="F4" s="2">
        <v>26750.67</v>
      </c>
      <c r="G4" s="2">
        <v>12381.33</v>
      </c>
    </row>
    <row r="5" spans="1:7">
      <c r="A5" t="s">
        <v>13</v>
      </c>
      <c r="B5" t="s">
        <v>8</v>
      </c>
      <c r="C5" t="s">
        <v>9</v>
      </c>
      <c r="D5" t="s">
        <v>10</v>
      </c>
      <c r="E5" s="2">
        <v>39270</v>
      </c>
      <c r="F5" s="2">
        <v>21883.26</v>
      </c>
      <c r="G5" s="2">
        <v>17386.740000000002</v>
      </c>
    </row>
    <row r="6" spans="1:7">
      <c r="A6" t="s">
        <v>14</v>
      </c>
      <c r="B6" t="s">
        <v>8</v>
      </c>
      <c r="C6" t="s">
        <v>9</v>
      </c>
      <c r="D6" t="s">
        <v>15</v>
      </c>
      <c r="E6" s="2">
        <v>21825</v>
      </c>
      <c r="F6" s="2">
        <v>16940.259999999998</v>
      </c>
      <c r="G6" s="2">
        <v>4884.74</v>
      </c>
    </row>
    <row r="7" spans="1:7">
      <c r="A7" t="s">
        <v>16</v>
      </c>
      <c r="B7" t="s">
        <v>8</v>
      </c>
      <c r="C7" t="s">
        <v>9</v>
      </c>
      <c r="D7" t="s">
        <v>15</v>
      </c>
      <c r="E7" s="2">
        <v>11070</v>
      </c>
      <c r="F7" s="2">
        <v>8344.16</v>
      </c>
      <c r="G7" s="2">
        <v>2725.84</v>
      </c>
    </row>
    <row r="8" spans="1:7">
      <c r="A8" t="s">
        <v>17</v>
      </c>
      <c r="B8" t="s">
        <v>8</v>
      </c>
      <c r="C8" t="s">
        <v>9</v>
      </c>
      <c r="D8" t="s">
        <v>15</v>
      </c>
      <c r="E8" s="2">
        <v>24559</v>
      </c>
      <c r="F8" s="2">
        <v>17381.82</v>
      </c>
      <c r="G8" s="2">
        <v>7177.18</v>
      </c>
    </row>
    <row r="9" spans="1:7">
      <c r="A9" t="s">
        <v>18</v>
      </c>
      <c r="B9" t="s">
        <v>8</v>
      </c>
      <c r="C9" t="s">
        <v>9</v>
      </c>
      <c r="D9" t="s">
        <v>15</v>
      </c>
      <c r="E9" s="2">
        <v>14515</v>
      </c>
      <c r="F9" s="2">
        <v>10074.540000000001</v>
      </c>
      <c r="G9" s="2">
        <v>4440.46</v>
      </c>
    </row>
    <row r="10" spans="1:7">
      <c r="A10" t="s">
        <v>19</v>
      </c>
      <c r="B10" t="s">
        <v>8</v>
      </c>
      <c r="C10" t="s">
        <v>9</v>
      </c>
      <c r="D10" t="s">
        <v>20</v>
      </c>
      <c r="E10" s="2">
        <v>11873</v>
      </c>
      <c r="F10" s="2">
        <v>7193.99</v>
      </c>
      <c r="G10" s="2">
        <v>4679.01</v>
      </c>
    </row>
    <row r="11" spans="1:7">
      <c r="A11" t="s">
        <v>21</v>
      </c>
      <c r="B11" t="s">
        <v>8</v>
      </c>
      <c r="C11" t="s">
        <v>9</v>
      </c>
      <c r="D11" t="s">
        <v>20</v>
      </c>
      <c r="E11" s="2">
        <v>14654</v>
      </c>
      <c r="F11" s="2">
        <v>8709.7800000000007</v>
      </c>
      <c r="G11" s="2">
        <v>5944.22</v>
      </c>
    </row>
    <row r="12" spans="1:7">
      <c r="A12" t="s">
        <v>22</v>
      </c>
      <c r="B12" t="s">
        <v>8</v>
      </c>
      <c r="C12" t="s">
        <v>9</v>
      </c>
      <c r="D12" t="s">
        <v>20</v>
      </c>
      <c r="E12" s="2">
        <v>19242</v>
      </c>
      <c r="F12" s="2">
        <v>12482.29</v>
      </c>
      <c r="G12" s="2">
        <v>6759.71</v>
      </c>
    </row>
    <row r="13" spans="1:7">
      <c r="A13" t="s">
        <v>23</v>
      </c>
      <c r="B13" t="s">
        <v>8</v>
      </c>
      <c r="C13" t="s">
        <v>9</v>
      </c>
      <c r="D13" t="s">
        <v>20</v>
      </c>
      <c r="E13" s="2">
        <v>18202</v>
      </c>
      <c r="F13" s="2">
        <v>11250.08</v>
      </c>
      <c r="G13" s="2">
        <v>6951.92</v>
      </c>
    </row>
    <row r="14" spans="1:7">
      <c r="A14" t="s">
        <v>24</v>
      </c>
      <c r="B14" t="s">
        <v>8</v>
      </c>
      <c r="C14" t="s">
        <v>9</v>
      </c>
      <c r="D14" t="s">
        <v>20</v>
      </c>
      <c r="E14" s="2">
        <v>11924</v>
      </c>
      <c r="F14" s="2">
        <v>6939.17</v>
      </c>
      <c r="G14" s="2">
        <v>4984.83</v>
      </c>
    </row>
    <row r="15" spans="1:7">
      <c r="A15" t="s">
        <v>25</v>
      </c>
      <c r="B15" t="s">
        <v>8</v>
      </c>
      <c r="C15" t="s">
        <v>9</v>
      </c>
      <c r="D15" t="s">
        <v>20</v>
      </c>
      <c r="E15" s="2">
        <v>7547</v>
      </c>
      <c r="F15" s="2">
        <v>4580.5600000000004</v>
      </c>
      <c r="G15" s="2">
        <v>2966.44</v>
      </c>
    </row>
    <row r="16" spans="1:7">
      <c r="A16" t="s">
        <v>26</v>
      </c>
      <c r="B16" t="s">
        <v>8</v>
      </c>
      <c r="C16" t="s">
        <v>9</v>
      </c>
      <c r="D16" t="s">
        <v>20</v>
      </c>
      <c r="E16" s="2">
        <v>17509</v>
      </c>
      <c r="F16" s="2">
        <v>10202.16</v>
      </c>
      <c r="G16" s="2">
        <v>7306.84</v>
      </c>
    </row>
    <row r="17" spans="1:7">
      <c r="A17" t="s">
        <v>27</v>
      </c>
      <c r="B17" t="s">
        <v>8</v>
      </c>
      <c r="C17" t="s">
        <v>9</v>
      </c>
      <c r="D17" t="s">
        <v>20</v>
      </c>
      <c r="E17" s="2">
        <v>6519</v>
      </c>
      <c r="F17" s="2">
        <v>3742</v>
      </c>
      <c r="G17" s="2">
        <v>2777</v>
      </c>
    </row>
    <row r="18" spans="1:7">
      <c r="A18" t="s">
        <v>28</v>
      </c>
      <c r="B18" t="s">
        <v>8</v>
      </c>
      <c r="C18" t="s">
        <v>9</v>
      </c>
      <c r="D18" t="s">
        <v>29</v>
      </c>
      <c r="E18" s="2">
        <v>4817</v>
      </c>
      <c r="F18" s="2">
        <v>3899.98</v>
      </c>
      <c r="G18" s="2">
        <v>917.02</v>
      </c>
    </row>
    <row r="19" spans="1:7">
      <c r="A19" t="s">
        <v>30</v>
      </c>
      <c r="B19" t="s">
        <v>8</v>
      </c>
      <c r="C19" t="s">
        <v>9</v>
      </c>
      <c r="D19" t="s">
        <v>29</v>
      </c>
      <c r="E19" s="2">
        <v>2355</v>
      </c>
      <c r="F19" s="2">
        <v>1877</v>
      </c>
      <c r="G19" s="2">
        <v>478</v>
      </c>
    </row>
    <row r="20" spans="1:7">
      <c r="A20" t="s">
        <v>31</v>
      </c>
      <c r="B20" t="s">
        <v>8</v>
      </c>
      <c r="C20" t="s">
        <v>9</v>
      </c>
      <c r="D20" t="s">
        <v>29</v>
      </c>
      <c r="E20" s="2">
        <v>6392</v>
      </c>
      <c r="F20" s="2">
        <v>5481.25</v>
      </c>
      <c r="G20" s="2">
        <v>910.75</v>
      </c>
    </row>
    <row r="21" spans="1:7">
      <c r="A21" t="s">
        <v>32</v>
      </c>
      <c r="B21" t="s">
        <v>8</v>
      </c>
      <c r="C21" t="s">
        <v>9</v>
      </c>
      <c r="D21" t="s">
        <v>29</v>
      </c>
      <c r="E21" s="2">
        <v>5100</v>
      </c>
      <c r="F21" s="2">
        <v>4396.8100000000004</v>
      </c>
      <c r="G21" s="2">
        <v>703.19</v>
      </c>
    </row>
    <row r="22" spans="1:7">
      <c r="A22" t="s">
        <v>33</v>
      </c>
      <c r="B22" t="s">
        <v>8</v>
      </c>
      <c r="C22" t="s">
        <v>9</v>
      </c>
      <c r="D22" t="s">
        <v>29</v>
      </c>
      <c r="E22" s="2">
        <v>4401</v>
      </c>
      <c r="F22" s="2">
        <v>3463.85</v>
      </c>
      <c r="G22" s="2">
        <v>937.15</v>
      </c>
    </row>
    <row r="23" spans="1:7">
      <c r="A23" t="s">
        <v>34</v>
      </c>
      <c r="B23" t="s">
        <v>8</v>
      </c>
      <c r="C23" t="s">
        <v>9</v>
      </c>
      <c r="D23" t="s">
        <v>29</v>
      </c>
      <c r="E23" s="2">
        <v>7066</v>
      </c>
      <c r="F23" s="2">
        <v>5521.76</v>
      </c>
      <c r="G23" s="2">
        <v>1544.24</v>
      </c>
    </row>
    <row r="24" spans="1:7">
      <c r="A24" t="s">
        <v>35</v>
      </c>
      <c r="B24" t="s">
        <v>8</v>
      </c>
      <c r="C24" t="s">
        <v>36</v>
      </c>
      <c r="D24" t="s">
        <v>10</v>
      </c>
      <c r="E24" s="2">
        <v>33918</v>
      </c>
      <c r="F24" s="2">
        <v>22699.07</v>
      </c>
      <c r="G24" s="2">
        <v>11218.93</v>
      </c>
    </row>
    <row r="25" spans="1:7">
      <c r="A25" t="s">
        <v>37</v>
      </c>
      <c r="B25" t="s">
        <v>8</v>
      </c>
      <c r="C25" t="s">
        <v>36</v>
      </c>
      <c r="D25" t="s">
        <v>10</v>
      </c>
      <c r="E25" s="2">
        <v>17279</v>
      </c>
      <c r="F25" s="2">
        <v>11968.61</v>
      </c>
      <c r="G25" s="2">
        <v>5310.39</v>
      </c>
    </row>
    <row r="26" spans="1:7">
      <c r="A26" t="s">
        <v>38</v>
      </c>
      <c r="B26" t="s">
        <v>8</v>
      </c>
      <c r="C26" t="s">
        <v>36</v>
      </c>
      <c r="D26" t="s">
        <v>10</v>
      </c>
      <c r="E26" s="2">
        <v>22467</v>
      </c>
      <c r="F26" s="2">
        <v>12947.94</v>
      </c>
      <c r="G26" s="2">
        <v>9519.06</v>
      </c>
    </row>
    <row r="27" spans="1:7">
      <c r="A27" t="s">
        <v>39</v>
      </c>
      <c r="B27" t="s">
        <v>8</v>
      </c>
      <c r="C27" t="s">
        <v>36</v>
      </c>
      <c r="D27" t="s">
        <v>10</v>
      </c>
      <c r="E27" s="2">
        <v>17614</v>
      </c>
      <c r="F27" s="2">
        <v>9919.31</v>
      </c>
      <c r="G27" s="2">
        <v>7694.69</v>
      </c>
    </row>
    <row r="28" spans="1:7">
      <c r="A28" t="s">
        <v>40</v>
      </c>
      <c r="B28" t="s">
        <v>8</v>
      </c>
      <c r="C28" t="s">
        <v>36</v>
      </c>
      <c r="D28" t="s">
        <v>10</v>
      </c>
      <c r="E28" s="2">
        <v>43392</v>
      </c>
      <c r="F28" s="2">
        <v>29673.18</v>
      </c>
      <c r="G28" s="2">
        <v>13718.82</v>
      </c>
    </row>
    <row r="29" spans="1:7">
      <c r="A29" t="s">
        <v>41</v>
      </c>
      <c r="B29" t="s">
        <v>8</v>
      </c>
      <c r="C29" t="s">
        <v>36</v>
      </c>
      <c r="D29" t="s">
        <v>10</v>
      </c>
      <c r="E29" s="2">
        <v>24108</v>
      </c>
      <c r="F29" s="2">
        <v>15126.67</v>
      </c>
      <c r="G29" s="2">
        <v>8981.33</v>
      </c>
    </row>
    <row r="30" spans="1:7">
      <c r="A30" t="s">
        <v>42</v>
      </c>
      <c r="B30" t="s">
        <v>8</v>
      </c>
      <c r="C30" t="s">
        <v>36</v>
      </c>
      <c r="D30" t="s">
        <v>15</v>
      </c>
      <c r="E30" s="2">
        <v>13329</v>
      </c>
      <c r="F30" s="2">
        <v>9804.52</v>
      </c>
      <c r="G30" s="2">
        <v>3524.48</v>
      </c>
    </row>
    <row r="31" spans="1:7">
      <c r="A31" t="s">
        <v>43</v>
      </c>
      <c r="B31" t="s">
        <v>8</v>
      </c>
      <c r="C31" t="s">
        <v>36</v>
      </c>
      <c r="D31" t="s">
        <v>15</v>
      </c>
      <c r="E31" s="2">
        <v>14865</v>
      </c>
      <c r="F31" s="2">
        <v>10399.24</v>
      </c>
      <c r="G31" s="2">
        <v>4465.76</v>
      </c>
    </row>
    <row r="32" spans="1:7">
      <c r="A32" t="s">
        <v>44</v>
      </c>
      <c r="B32" t="s">
        <v>8</v>
      </c>
      <c r="C32" t="s">
        <v>36</v>
      </c>
      <c r="D32" t="s">
        <v>15</v>
      </c>
      <c r="E32" s="2">
        <v>10339</v>
      </c>
      <c r="F32" s="2">
        <v>7308.68</v>
      </c>
      <c r="G32" s="2">
        <v>3030.32</v>
      </c>
    </row>
    <row r="33" spans="1:7">
      <c r="A33" t="s">
        <v>45</v>
      </c>
      <c r="B33" t="s">
        <v>8</v>
      </c>
      <c r="C33" t="s">
        <v>36</v>
      </c>
      <c r="D33" t="s">
        <v>15</v>
      </c>
      <c r="E33" s="2">
        <v>13607</v>
      </c>
      <c r="F33" s="2">
        <v>9741.2999999999993</v>
      </c>
      <c r="G33" s="2">
        <v>3865.7</v>
      </c>
    </row>
    <row r="34" spans="1:7">
      <c r="A34" t="s">
        <v>46</v>
      </c>
      <c r="B34" t="s">
        <v>8</v>
      </c>
      <c r="C34" t="s">
        <v>36</v>
      </c>
      <c r="D34" t="s">
        <v>15</v>
      </c>
      <c r="E34" s="2">
        <v>16021</v>
      </c>
      <c r="F34" s="2">
        <v>12182.24</v>
      </c>
      <c r="G34" s="2">
        <v>3838.76</v>
      </c>
    </row>
    <row r="35" spans="1:7">
      <c r="A35" t="s">
        <v>47</v>
      </c>
      <c r="B35" t="s">
        <v>8</v>
      </c>
      <c r="C35" t="s">
        <v>36</v>
      </c>
      <c r="D35" t="s">
        <v>15</v>
      </c>
      <c r="E35" s="2">
        <v>20433</v>
      </c>
      <c r="F35" s="2">
        <v>15275.84</v>
      </c>
      <c r="G35" s="2">
        <v>5157.16</v>
      </c>
    </row>
    <row r="36" spans="1:7">
      <c r="A36" t="s">
        <v>48</v>
      </c>
      <c r="B36" t="s">
        <v>8</v>
      </c>
      <c r="C36" t="s">
        <v>36</v>
      </c>
      <c r="D36" t="s">
        <v>20</v>
      </c>
      <c r="E36" s="2">
        <v>8598</v>
      </c>
      <c r="F36" s="2">
        <v>4411.4399999999996</v>
      </c>
      <c r="G36" s="2">
        <v>4186.5600000000004</v>
      </c>
    </row>
    <row r="37" spans="1:7">
      <c r="A37" t="s">
        <v>49</v>
      </c>
      <c r="B37" t="s">
        <v>8</v>
      </c>
      <c r="C37" t="s">
        <v>36</v>
      </c>
      <c r="D37" t="s">
        <v>20</v>
      </c>
      <c r="E37" s="2">
        <v>18809</v>
      </c>
      <c r="F37" s="2">
        <v>9335.61</v>
      </c>
      <c r="G37" s="2">
        <v>9473.39</v>
      </c>
    </row>
    <row r="38" spans="1:7">
      <c r="A38" t="s">
        <v>50</v>
      </c>
      <c r="B38" t="s">
        <v>8</v>
      </c>
      <c r="C38" t="s">
        <v>36</v>
      </c>
      <c r="D38" t="s">
        <v>20</v>
      </c>
      <c r="E38" s="2">
        <v>5916</v>
      </c>
      <c r="F38" s="2">
        <v>3574.39</v>
      </c>
      <c r="G38" s="2">
        <v>2341.61</v>
      </c>
    </row>
    <row r="39" spans="1:7">
      <c r="A39" t="s">
        <v>51</v>
      </c>
      <c r="B39" t="s">
        <v>8</v>
      </c>
      <c r="C39" t="s">
        <v>36</v>
      </c>
      <c r="D39" t="s">
        <v>20</v>
      </c>
      <c r="E39" s="2">
        <v>5525</v>
      </c>
      <c r="F39" s="2">
        <v>2701.67</v>
      </c>
      <c r="G39" s="2">
        <v>2823.33</v>
      </c>
    </row>
    <row r="40" spans="1:7">
      <c r="A40" t="s">
        <v>52</v>
      </c>
      <c r="B40" t="s">
        <v>8</v>
      </c>
      <c r="C40" t="s">
        <v>36</v>
      </c>
      <c r="D40" t="s">
        <v>20</v>
      </c>
      <c r="E40" s="2">
        <v>11572</v>
      </c>
      <c r="F40" s="2">
        <v>6902.14</v>
      </c>
      <c r="G40" s="2">
        <v>4669.8599999999997</v>
      </c>
    </row>
    <row r="41" spans="1:7">
      <c r="A41" t="s">
        <v>53</v>
      </c>
      <c r="B41" t="s">
        <v>8</v>
      </c>
      <c r="C41" t="s">
        <v>36</v>
      </c>
      <c r="D41" t="s">
        <v>20</v>
      </c>
      <c r="E41" s="2">
        <v>8456</v>
      </c>
      <c r="F41" s="2">
        <v>3952.1</v>
      </c>
      <c r="G41" s="2">
        <v>4503.8999999999996</v>
      </c>
    </row>
    <row r="42" spans="1:7">
      <c r="A42" t="s">
        <v>54</v>
      </c>
      <c r="B42" t="s">
        <v>8</v>
      </c>
      <c r="C42" t="s">
        <v>36</v>
      </c>
      <c r="D42" t="s">
        <v>20</v>
      </c>
      <c r="E42" s="2">
        <v>14292</v>
      </c>
      <c r="F42" s="2">
        <v>6784.79</v>
      </c>
      <c r="G42" s="2">
        <v>7507.21</v>
      </c>
    </row>
    <row r="43" spans="1:7">
      <c r="A43" t="s">
        <v>55</v>
      </c>
      <c r="B43" t="s">
        <v>8</v>
      </c>
      <c r="C43" t="s">
        <v>36</v>
      </c>
      <c r="D43" t="s">
        <v>20</v>
      </c>
      <c r="E43" s="2">
        <v>10155</v>
      </c>
      <c r="F43" s="2">
        <v>6168.91</v>
      </c>
      <c r="G43" s="2">
        <v>3986.09</v>
      </c>
    </row>
    <row r="44" spans="1:7">
      <c r="A44" t="s">
        <v>56</v>
      </c>
      <c r="B44" t="s">
        <v>8</v>
      </c>
      <c r="C44" t="s">
        <v>36</v>
      </c>
      <c r="D44" t="s">
        <v>29</v>
      </c>
      <c r="E44" s="2">
        <v>5241</v>
      </c>
      <c r="F44" s="2">
        <v>4096.01</v>
      </c>
      <c r="G44" s="2">
        <v>1144.99</v>
      </c>
    </row>
    <row r="45" spans="1:7">
      <c r="A45" t="s">
        <v>57</v>
      </c>
      <c r="B45" t="s">
        <v>8</v>
      </c>
      <c r="C45" t="s">
        <v>36</v>
      </c>
      <c r="D45" t="s">
        <v>29</v>
      </c>
      <c r="E45" s="2">
        <v>7266</v>
      </c>
      <c r="F45" s="2">
        <v>5988.02</v>
      </c>
      <c r="G45" s="2">
        <v>1277.98</v>
      </c>
    </row>
    <row r="46" spans="1:7">
      <c r="A46" t="s">
        <v>58</v>
      </c>
      <c r="B46" t="s">
        <v>8</v>
      </c>
      <c r="C46" t="s">
        <v>36</v>
      </c>
      <c r="D46" t="s">
        <v>29</v>
      </c>
      <c r="E46" s="2">
        <v>4169</v>
      </c>
      <c r="F46" s="2">
        <v>3568.82</v>
      </c>
      <c r="G46" s="2">
        <v>600.17999999999995</v>
      </c>
    </row>
    <row r="47" spans="1:7">
      <c r="A47" t="s">
        <v>59</v>
      </c>
      <c r="B47" t="s">
        <v>8</v>
      </c>
      <c r="C47" t="s">
        <v>36</v>
      </c>
      <c r="D47" t="s">
        <v>29</v>
      </c>
      <c r="E47" s="2">
        <v>6598</v>
      </c>
      <c r="F47" s="2">
        <v>5384.64</v>
      </c>
      <c r="G47" s="2">
        <v>1213.3599999999999</v>
      </c>
    </row>
    <row r="48" spans="1:7">
      <c r="A48" t="s">
        <v>60</v>
      </c>
      <c r="B48" t="s">
        <v>8</v>
      </c>
      <c r="C48" t="s">
        <v>36</v>
      </c>
      <c r="D48" t="s">
        <v>29</v>
      </c>
      <c r="E48" s="2">
        <v>6788</v>
      </c>
      <c r="F48" s="2">
        <v>5614.74</v>
      </c>
      <c r="G48" s="2">
        <v>1173.26</v>
      </c>
    </row>
    <row r="49" spans="1:7">
      <c r="A49" t="s">
        <v>61</v>
      </c>
      <c r="B49" t="s">
        <v>8</v>
      </c>
      <c r="C49" t="s">
        <v>36</v>
      </c>
      <c r="D49" t="s">
        <v>29</v>
      </c>
      <c r="E49" s="2">
        <v>6780</v>
      </c>
      <c r="F49" s="2">
        <v>5627.81</v>
      </c>
      <c r="G49" s="2">
        <v>1152.19</v>
      </c>
    </row>
    <row r="50" spans="1:7">
      <c r="A50" t="s">
        <v>62</v>
      </c>
      <c r="B50" t="s">
        <v>8</v>
      </c>
      <c r="C50" t="s">
        <v>36</v>
      </c>
      <c r="D50" t="s">
        <v>29</v>
      </c>
      <c r="E50" s="2">
        <v>3796</v>
      </c>
      <c r="F50" s="2">
        <v>2923.94</v>
      </c>
      <c r="G50" s="2">
        <v>872.06</v>
      </c>
    </row>
    <row r="51" spans="1:7">
      <c r="A51" t="s">
        <v>63</v>
      </c>
      <c r="B51" t="s">
        <v>8</v>
      </c>
      <c r="C51" t="s">
        <v>64</v>
      </c>
      <c r="D51" t="s">
        <v>10</v>
      </c>
      <c r="E51" s="2">
        <v>31696</v>
      </c>
      <c r="F51" s="2">
        <v>19684.400000000001</v>
      </c>
      <c r="G51" s="2">
        <v>12011.6</v>
      </c>
    </row>
    <row r="52" spans="1:7">
      <c r="A52" t="s">
        <v>65</v>
      </c>
      <c r="B52" t="s">
        <v>8</v>
      </c>
      <c r="C52" t="s">
        <v>64</v>
      </c>
      <c r="D52" t="s">
        <v>10</v>
      </c>
      <c r="E52" s="2">
        <v>39765</v>
      </c>
      <c r="F52" s="2">
        <v>27535.73</v>
      </c>
      <c r="G52" s="2">
        <v>12229.27</v>
      </c>
    </row>
    <row r="53" spans="1:7">
      <c r="A53" t="s">
        <v>66</v>
      </c>
      <c r="B53" t="s">
        <v>8</v>
      </c>
      <c r="C53" t="s">
        <v>64</v>
      </c>
      <c r="D53" t="s">
        <v>10</v>
      </c>
      <c r="E53" s="2">
        <v>18592</v>
      </c>
      <c r="F53" s="2">
        <v>12559.74</v>
      </c>
      <c r="G53" s="2">
        <v>6032.26</v>
      </c>
    </row>
    <row r="54" spans="1:7">
      <c r="A54" t="s">
        <v>67</v>
      </c>
      <c r="B54" t="s">
        <v>8</v>
      </c>
      <c r="C54" t="s">
        <v>64</v>
      </c>
      <c r="D54" t="s">
        <v>10</v>
      </c>
      <c r="E54" s="2">
        <v>20242</v>
      </c>
      <c r="F54" s="2">
        <v>11604.08</v>
      </c>
      <c r="G54" s="2">
        <v>8637.92</v>
      </c>
    </row>
    <row r="55" spans="1:7">
      <c r="A55" t="s">
        <v>68</v>
      </c>
      <c r="B55" t="s">
        <v>8</v>
      </c>
      <c r="C55" t="s">
        <v>64</v>
      </c>
      <c r="D55" t="s">
        <v>10</v>
      </c>
      <c r="E55" s="2">
        <v>28833</v>
      </c>
      <c r="F55" s="2">
        <v>17431.7</v>
      </c>
      <c r="G55" s="2">
        <v>11401.3</v>
      </c>
    </row>
    <row r="56" spans="1:7">
      <c r="A56" t="s">
        <v>69</v>
      </c>
      <c r="B56" t="s">
        <v>8</v>
      </c>
      <c r="C56" t="s">
        <v>64</v>
      </c>
      <c r="D56" t="s">
        <v>15</v>
      </c>
      <c r="E56" s="2">
        <v>20504</v>
      </c>
      <c r="F56" s="2">
        <v>14526.95</v>
      </c>
      <c r="G56" s="2">
        <v>5977.05</v>
      </c>
    </row>
    <row r="57" spans="1:7">
      <c r="A57" t="s">
        <v>70</v>
      </c>
      <c r="B57" t="s">
        <v>8</v>
      </c>
      <c r="C57" t="s">
        <v>64</v>
      </c>
      <c r="D57" t="s">
        <v>15</v>
      </c>
      <c r="E57" s="2">
        <v>23337</v>
      </c>
      <c r="F57" s="2">
        <v>16721.11</v>
      </c>
      <c r="G57" s="2">
        <v>6615.89</v>
      </c>
    </row>
    <row r="58" spans="1:7">
      <c r="A58" t="s">
        <v>71</v>
      </c>
      <c r="B58" t="s">
        <v>8</v>
      </c>
      <c r="C58" t="s">
        <v>64</v>
      </c>
      <c r="D58" t="s">
        <v>15</v>
      </c>
      <c r="E58" s="2">
        <v>8376</v>
      </c>
      <c r="F58" s="2">
        <v>5849.51</v>
      </c>
      <c r="G58" s="2">
        <v>2526.4899999999998</v>
      </c>
    </row>
    <row r="59" spans="1:7">
      <c r="A59" t="s">
        <v>72</v>
      </c>
      <c r="B59" t="s">
        <v>8</v>
      </c>
      <c r="C59" t="s">
        <v>64</v>
      </c>
      <c r="D59" t="s">
        <v>15</v>
      </c>
      <c r="E59" s="2">
        <v>11753</v>
      </c>
      <c r="F59" s="2">
        <v>8205.8799999999992</v>
      </c>
      <c r="G59" s="2">
        <v>3547.12</v>
      </c>
    </row>
    <row r="60" spans="1:7">
      <c r="A60" t="s">
        <v>73</v>
      </c>
      <c r="B60" t="s">
        <v>8</v>
      </c>
      <c r="C60" t="s">
        <v>64</v>
      </c>
      <c r="D60" t="s">
        <v>15</v>
      </c>
      <c r="E60" s="2">
        <v>16743</v>
      </c>
      <c r="F60" s="2">
        <v>11515.3</v>
      </c>
      <c r="G60" s="2">
        <v>5227.7</v>
      </c>
    </row>
    <row r="61" spans="1:7">
      <c r="A61" t="s">
        <v>74</v>
      </c>
      <c r="B61" t="s">
        <v>8</v>
      </c>
      <c r="C61" t="s">
        <v>64</v>
      </c>
      <c r="D61" t="s">
        <v>15</v>
      </c>
      <c r="E61" s="2">
        <v>19146</v>
      </c>
      <c r="F61" s="2">
        <v>14677.59</v>
      </c>
      <c r="G61" s="2">
        <v>4468.41</v>
      </c>
    </row>
    <row r="62" spans="1:7">
      <c r="A62" t="s">
        <v>75</v>
      </c>
      <c r="B62" t="s">
        <v>8</v>
      </c>
      <c r="C62" t="s">
        <v>64</v>
      </c>
      <c r="D62" t="s">
        <v>15</v>
      </c>
      <c r="E62" s="2">
        <v>22246</v>
      </c>
      <c r="F62" s="2">
        <v>16929.669999999998</v>
      </c>
      <c r="G62" s="2">
        <v>5316.33</v>
      </c>
    </row>
    <row r="63" spans="1:7">
      <c r="A63" t="s">
        <v>76</v>
      </c>
      <c r="B63" t="s">
        <v>8</v>
      </c>
      <c r="C63" t="s">
        <v>64</v>
      </c>
      <c r="D63" t="s">
        <v>20</v>
      </c>
      <c r="E63" s="2">
        <v>16830</v>
      </c>
      <c r="F63" s="2">
        <v>7991.38</v>
      </c>
      <c r="G63" s="2">
        <v>8838.6200000000008</v>
      </c>
    </row>
    <row r="64" spans="1:7">
      <c r="A64" t="s">
        <v>77</v>
      </c>
      <c r="B64" t="s">
        <v>8</v>
      </c>
      <c r="C64" t="s">
        <v>64</v>
      </c>
      <c r="D64" t="s">
        <v>20</v>
      </c>
      <c r="E64" s="2">
        <v>9315</v>
      </c>
      <c r="F64" s="2">
        <v>4244.12</v>
      </c>
      <c r="G64" s="2">
        <v>5070.88</v>
      </c>
    </row>
    <row r="65" spans="1:7">
      <c r="A65" t="s">
        <v>78</v>
      </c>
      <c r="B65" t="s">
        <v>8</v>
      </c>
      <c r="C65" t="s">
        <v>64</v>
      </c>
      <c r="D65" t="s">
        <v>20</v>
      </c>
      <c r="E65" s="2">
        <v>17483</v>
      </c>
      <c r="F65" s="2">
        <v>10739.28</v>
      </c>
      <c r="G65" s="2">
        <v>6743.72</v>
      </c>
    </row>
    <row r="66" spans="1:7">
      <c r="A66" t="s">
        <v>79</v>
      </c>
      <c r="B66" t="s">
        <v>8</v>
      </c>
      <c r="C66" t="s">
        <v>64</v>
      </c>
      <c r="D66" t="s">
        <v>20</v>
      </c>
      <c r="E66" s="2">
        <v>19952</v>
      </c>
      <c r="F66" s="2">
        <v>12544.18</v>
      </c>
      <c r="G66" s="2">
        <v>7407.82</v>
      </c>
    </row>
    <row r="67" spans="1:7">
      <c r="A67" t="s">
        <v>80</v>
      </c>
      <c r="B67" t="s">
        <v>8</v>
      </c>
      <c r="C67" t="s">
        <v>64</v>
      </c>
      <c r="D67" t="s">
        <v>29</v>
      </c>
      <c r="E67" s="2">
        <v>7234</v>
      </c>
      <c r="F67" s="2">
        <v>5926.34</v>
      </c>
      <c r="G67" s="2">
        <v>1307.6600000000001</v>
      </c>
    </row>
    <row r="68" spans="1:7">
      <c r="A68" t="s">
        <v>81</v>
      </c>
      <c r="B68" t="s">
        <v>8</v>
      </c>
      <c r="C68" t="s">
        <v>64</v>
      </c>
      <c r="D68" t="s">
        <v>29</v>
      </c>
      <c r="E68" s="2">
        <v>3629</v>
      </c>
      <c r="F68" s="2">
        <v>3101.76</v>
      </c>
      <c r="G68" s="2">
        <v>527.24</v>
      </c>
    </row>
    <row r="69" spans="1:7">
      <c r="A69" t="s">
        <v>82</v>
      </c>
      <c r="B69" t="s">
        <v>8</v>
      </c>
      <c r="C69" t="s">
        <v>64</v>
      </c>
      <c r="D69" t="s">
        <v>29</v>
      </c>
      <c r="E69" s="2">
        <v>3323</v>
      </c>
      <c r="F69" s="2">
        <v>2711.77</v>
      </c>
      <c r="G69" s="2">
        <v>611.23</v>
      </c>
    </row>
    <row r="70" spans="1:7">
      <c r="A70" t="s">
        <v>83</v>
      </c>
      <c r="B70" t="s">
        <v>8</v>
      </c>
      <c r="C70" t="s">
        <v>64</v>
      </c>
      <c r="D70" t="s">
        <v>29</v>
      </c>
      <c r="E70" s="2">
        <v>6344</v>
      </c>
      <c r="F70" s="2">
        <v>4936.59</v>
      </c>
      <c r="G70" s="2">
        <v>1407.41</v>
      </c>
    </row>
    <row r="71" spans="1:7">
      <c r="A71" t="s">
        <v>84</v>
      </c>
      <c r="B71" t="s">
        <v>8</v>
      </c>
      <c r="C71" t="s">
        <v>64</v>
      </c>
      <c r="D71" t="s">
        <v>29</v>
      </c>
      <c r="E71" s="2">
        <v>6906</v>
      </c>
      <c r="F71" s="2">
        <v>5784.36</v>
      </c>
      <c r="G71" s="2">
        <v>1121.6400000000001</v>
      </c>
    </row>
    <row r="72" spans="1:7">
      <c r="A72" t="s">
        <v>85</v>
      </c>
      <c r="B72" t="s">
        <v>8</v>
      </c>
      <c r="C72" t="s">
        <v>64</v>
      </c>
      <c r="D72" t="s">
        <v>29</v>
      </c>
      <c r="E72" s="2">
        <v>2159</v>
      </c>
      <c r="F72" s="2">
        <v>1854.18</v>
      </c>
      <c r="G72" s="2">
        <v>304.82</v>
      </c>
    </row>
    <row r="73" spans="1:7">
      <c r="A73" t="s">
        <v>86</v>
      </c>
      <c r="B73" t="s">
        <v>8</v>
      </c>
      <c r="C73" t="s">
        <v>87</v>
      </c>
      <c r="D73" t="s">
        <v>10</v>
      </c>
      <c r="E73" s="2">
        <v>43793</v>
      </c>
      <c r="F73" s="2">
        <v>23751.07</v>
      </c>
      <c r="G73" s="2">
        <v>20041.93</v>
      </c>
    </row>
    <row r="74" spans="1:7">
      <c r="A74" t="s">
        <v>88</v>
      </c>
      <c r="B74" t="s">
        <v>8</v>
      </c>
      <c r="C74" t="s">
        <v>87</v>
      </c>
      <c r="D74" t="s">
        <v>10</v>
      </c>
      <c r="E74" s="2">
        <v>41436</v>
      </c>
      <c r="F74" s="2">
        <v>26966.46</v>
      </c>
      <c r="G74" s="2">
        <v>14469.54</v>
      </c>
    </row>
    <row r="75" spans="1:7">
      <c r="A75" t="s">
        <v>89</v>
      </c>
      <c r="B75" t="s">
        <v>8</v>
      </c>
      <c r="C75" t="s">
        <v>87</v>
      </c>
      <c r="D75" t="s">
        <v>10</v>
      </c>
      <c r="E75" s="2">
        <v>16898</v>
      </c>
      <c r="F75" s="2">
        <v>11177.36</v>
      </c>
      <c r="G75" s="2">
        <v>5720.64</v>
      </c>
    </row>
    <row r="76" spans="1:7">
      <c r="A76" t="s">
        <v>90</v>
      </c>
      <c r="B76" t="s">
        <v>8</v>
      </c>
      <c r="C76" t="s">
        <v>87</v>
      </c>
      <c r="D76" t="s">
        <v>10</v>
      </c>
      <c r="E76" s="2">
        <v>33591</v>
      </c>
      <c r="F76" s="2">
        <v>18424.259999999998</v>
      </c>
      <c r="G76" s="2">
        <v>15166.74</v>
      </c>
    </row>
    <row r="77" spans="1:7">
      <c r="A77" t="s">
        <v>91</v>
      </c>
      <c r="B77" t="s">
        <v>8</v>
      </c>
      <c r="C77" t="s">
        <v>87</v>
      </c>
      <c r="D77" t="s">
        <v>10</v>
      </c>
      <c r="E77" s="2">
        <v>17806</v>
      </c>
      <c r="F77" s="2">
        <v>10379.02</v>
      </c>
      <c r="G77" s="2">
        <v>7426.98</v>
      </c>
    </row>
    <row r="78" spans="1:7">
      <c r="A78" t="s">
        <v>92</v>
      </c>
      <c r="B78" t="s">
        <v>8</v>
      </c>
      <c r="C78" t="s">
        <v>87</v>
      </c>
      <c r="D78" t="s">
        <v>10</v>
      </c>
      <c r="E78" s="2">
        <v>41739</v>
      </c>
      <c r="F78" s="2">
        <v>28755.08</v>
      </c>
      <c r="G78" s="2">
        <v>12983.92</v>
      </c>
    </row>
    <row r="79" spans="1:7">
      <c r="A79" t="s">
        <v>93</v>
      </c>
      <c r="B79" t="s">
        <v>8</v>
      </c>
      <c r="C79" t="s">
        <v>87</v>
      </c>
      <c r="D79" t="s">
        <v>15</v>
      </c>
      <c r="E79" s="2">
        <v>12120</v>
      </c>
      <c r="F79" s="2">
        <v>9266.8700000000008</v>
      </c>
      <c r="G79" s="2">
        <v>2853.13</v>
      </c>
    </row>
    <row r="80" spans="1:7">
      <c r="A80" t="s">
        <v>94</v>
      </c>
      <c r="B80" t="s">
        <v>8</v>
      </c>
      <c r="C80" t="s">
        <v>87</v>
      </c>
      <c r="D80" t="s">
        <v>15</v>
      </c>
      <c r="E80" s="2">
        <v>23574</v>
      </c>
      <c r="F80" s="2">
        <v>15709.2</v>
      </c>
      <c r="G80" s="2">
        <v>7864.8</v>
      </c>
    </row>
    <row r="81" spans="1:7">
      <c r="A81" t="s">
        <v>95</v>
      </c>
      <c r="B81" t="s">
        <v>8</v>
      </c>
      <c r="C81" t="s">
        <v>87</v>
      </c>
      <c r="D81" t="s">
        <v>15</v>
      </c>
      <c r="E81" s="2">
        <v>13410</v>
      </c>
      <c r="F81" s="2">
        <v>10033.27</v>
      </c>
      <c r="G81" s="2">
        <v>3376.73</v>
      </c>
    </row>
    <row r="82" spans="1:7">
      <c r="A82" t="s">
        <v>96</v>
      </c>
      <c r="B82" t="s">
        <v>8</v>
      </c>
      <c r="C82" t="s">
        <v>87</v>
      </c>
      <c r="D82" t="s">
        <v>15</v>
      </c>
      <c r="E82" s="2">
        <v>21865</v>
      </c>
      <c r="F82" s="2">
        <v>14524.4</v>
      </c>
      <c r="G82" s="2">
        <v>7340.6</v>
      </c>
    </row>
    <row r="83" spans="1:7">
      <c r="A83" t="s">
        <v>97</v>
      </c>
      <c r="B83" t="s">
        <v>8</v>
      </c>
      <c r="C83" t="s">
        <v>87</v>
      </c>
      <c r="D83" t="s">
        <v>15</v>
      </c>
      <c r="E83" s="2">
        <v>14591</v>
      </c>
      <c r="F83" s="2">
        <v>10132.66</v>
      </c>
      <c r="G83" s="2">
        <v>4458.34</v>
      </c>
    </row>
    <row r="84" spans="1:7">
      <c r="A84" t="s">
        <v>98</v>
      </c>
      <c r="B84" t="s">
        <v>8</v>
      </c>
      <c r="C84" t="s">
        <v>87</v>
      </c>
      <c r="D84" t="s">
        <v>15</v>
      </c>
      <c r="E84" s="2">
        <v>21074</v>
      </c>
      <c r="F84" s="2">
        <v>13921.11</v>
      </c>
      <c r="G84" s="2">
        <v>7152.89</v>
      </c>
    </row>
    <row r="85" spans="1:7">
      <c r="A85" t="s">
        <v>99</v>
      </c>
      <c r="B85" t="s">
        <v>8</v>
      </c>
      <c r="C85" t="s">
        <v>87</v>
      </c>
      <c r="D85" t="s">
        <v>15</v>
      </c>
      <c r="E85" s="2">
        <v>20236</v>
      </c>
      <c r="F85" s="2">
        <v>14720.23</v>
      </c>
      <c r="G85" s="2">
        <v>5515.77</v>
      </c>
    </row>
    <row r="86" spans="1:7">
      <c r="A86" t="s">
        <v>100</v>
      </c>
      <c r="B86" t="s">
        <v>8</v>
      </c>
      <c r="C86" t="s">
        <v>87</v>
      </c>
      <c r="D86" t="s">
        <v>15</v>
      </c>
      <c r="E86" s="2">
        <v>24959</v>
      </c>
      <c r="F86" s="2">
        <v>18115.78</v>
      </c>
      <c r="G86" s="2">
        <v>6843.22</v>
      </c>
    </row>
    <row r="87" spans="1:7">
      <c r="A87" t="s">
        <v>101</v>
      </c>
      <c r="B87" t="s">
        <v>8</v>
      </c>
      <c r="C87" t="s">
        <v>87</v>
      </c>
      <c r="D87" t="s">
        <v>20</v>
      </c>
      <c r="E87" s="2">
        <v>8681</v>
      </c>
      <c r="F87" s="2">
        <v>5531.49</v>
      </c>
      <c r="G87" s="2">
        <v>3149.51</v>
      </c>
    </row>
    <row r="88" spans="1:7">
      <c r="A88" t="s">
        <v>102</v>
      </c>
      <c r="B88" t="s">
        <v>8</v>
      </c>
      <c r="C88" t="s">
        <v>87</v>
      </c>
      <c r="D88" t="s">
        <v>20</v>
      </c>
      <c r="E88" s="2">
        <v>5344</v>
      </c>
      <c r="F88" s="2">
        <v>2844.82</v>
      </c>
      <c r="G88" s="2">
        <v>2499.1799999999998</v>
      </c>
    </row>
    <row r="89" spans="1:7">
      <c r="A89" t="s">
        <v>103</v>
      </c>
      <c r="B89" t="s">
        <v>8</v>
      </c>
      <c r="C89" t="s">
        <v>87</v>
      </c>
      <c r="D89" t="s">
        <v>20</v>
      </c>
      <c r="E89" s="2">
        <v>8770</v>
      </c>
      <c r="F89" s="2">
        <v>4668.38</v>
      </c>
      <c r="G89" s="2">
        <v>4101.62</v>
      </c>
    </row>
    <row r="90" spans="1:7">
      <c r="A90" t="s">
        <v>104</v>
      </c>
      <c r="B90" t="s">
        <v>8</v>
      </c>
      <c r="C90" t="s">
        <v>87</v>
      </c>
      <c r="D90" t="s">
        <v>20</v>
      </c>
      <c r="E90" s="2">
        <v>5117</v>
      </c>
      <c r="F90" s="2">
        <v>3253.4</v>
      </c>
      <c r="G90" s="2">
        <v>1863.6</v>
      </c>
    </row>
    <row r="91" spans="1:7">
      <c r="A91" t="s">
        <v>105</v>
      </c>
      <c r="B91" t="s">
        <v>8</v>
      </c>
      <c r="C91" t="s">
        <v>87</v>
      </c>
      <c r="D91" t="s">
        <v>20</v>
      </c>
      <c r="E91" s="2">
        <v>15339</v>
      </c>
      <c r="F91" s="2">
        <v>9789.74</v>
      </c>
      <c r="G91" s="2">
        <v>5549.26</v>
      </c>
    </row>
    <row r="92" spans="1:7">
      <c r="A92" t="s">
        <v>106</v>
      </c>
      <c r="B92" t="s">
        <v>8</v>
      </c>
      <c r="C92" t="s">
        <v>87</v>
      </c>
      <c r="D92" t="s">
        <v>29</v>
      </c>
      <c r="E92" s="2">
        <v>2257</v>
      </c>
      <c r="F92" s="2">
        <v>1769.57</v>
      </c>
      <c r="G92" s="2">
        <v>487.43</v>
      </c>
    </row>
    <row r="93" spans="1:7">
      <c r="A93" t="s">
        <v>107</v>
      </c>
      <c r="B93" t="s">
        <v>8</v>
      </c>
      <c r="C93" t="s">
        <v>87</v>
      </c>
      <c r="D93" t="s">
        <v>29</v>
      </c>
      <c r="E93" s="2">
        <v>2580</v>
      </c>
      <c r="F93" s="2">
        <v>2111.9499999999998</v>
      </c>
      <c r="G93" s="2">
        <v>468.05</v>
      </c>
    </row>
    <row r="94" spans="1:7">
      <c r="A94" t="s">
        <v>108</v>
      </c>
      <c r="B94" t="s">
        <v>8</v>
      </c>
      <c r="C94" t="s">
        <v>87</v>
      </c>
      <c r="D94" t="s">
        <v>29</v>
      </c>
      <c r="E94" s="2">
        <v>4281</v>
      </c>
      <c r="F94" s="2">
        <v>3438.08</v>
      </c>
      <c r="G94" s="2">
        <v>842.92</v>
      </c>
    </row>
    <row r="95" spans="1:7">
      <c r="A95" t="s">
        <v>109</v>
      </c>
      <c r="B95" t="s">
        <v>8</v>
      </c>
      <c r="C95" t="s">
        <v>87</v>
      </c>
      <c r="D95" t="s">
        <v>29</v>
      </c>
      <c r="E95" s="2">
        <v>3755</v>
      </c>
      <c r="F95" s="2">
        <v>3064.37</v>
      </c>
      <c r="G95" s="2">
        <v>690.63</v>
      </c>
    </row>
    <row r="96" spans="1:7">
      <c r="A96" t="s">
        <v>110</v>
      </c>
      <c r="B96" t="s">
        <v>111</v>
      </c>
      <c r="C96" t="s">
        <v>9</v>
      </c>
      <c r="D96" t="s">
        <v>10</v>
      </c>
      <c r="E96" s="2">
        <v>33881</v>
      </c>
      <c r="F96" s="2">
        <v>20476.75</v>
      </c>
      <c r="G96" s="2">
        <v>13404.25</v>
      </c>
    </row>
    <row r="97" spans="1:7">
      <c r="A97" t="s">
        <v>112</v>
      </c>
      <c r="B97" t="s">
        <v>111</v>
      </c>
      <c r="C97" t="s">
        <v>9</v>
      </c>
      <c r="D97" t="s">
        <v>10</v>
      </c>
      <c r="E97" s="2">
        <v>40710</v>
      </c>
      <c r="F97" s="2">
        <v>24602.04</v>
      </c>
      <c r="G97" s="2">
        <v>16107.96</v>
      </c>
    </row>
    <row r="98" spans="1:7">
      <c r="A98" t="s">
        <v>113</v>
      </c>
      <c r="B98" t="s">
        <v>111</v>
      </c>
      <c r="C98" t="s">
        <v>9</v>
      </c>
      <c r="D98" t="s">
        <v>10</v>
      </c>
      <c r="E98" s="2">
        <v>28338</v>
      </c>
      <c r="F98" s="2">
        <v>18406.509999999998</v>
      </c>
      <c r="G98" s="2">
        <v>9931.49</v>
      </c>
    </row>
    <row r="99" spans="1:7">
      <c r="A99" t="s">
        <v>114</v>
      </c>
      <c r="B99" t="s">
        <v>111</v>
      </c>
      <c r="C99" t="s">
        <v>9</v>
      </c>
      <c r="D99" t="s">
        <v>10</v>
      </c>
      <c r="E99" s="2">
        <v>18176</v>
      </c>
      <c r="F99" s="2">
        <v>10443.25</v>
      </c>
      <c r="G99" s="2">
        <v>7732.75</v>
      </c>
    </row>
    <row r="100" spans="1:7">
      <c r="A100" t="s">
        <v>115</v>
      </c>
      <c r="B100" t="s">
        <v>111</v>
      </c>
      <c r="C100" t="s">
        <v>9</v>
      </c>
      <c r="D100" t="s">
        <v>10</v>
      </c>
      <c r="E100" s="2">
        <v>26609</v>
      </c>
      <c r="F100" s="2">
        <v>16290.76</v>
      </c>
      <c r="G100" s="2">
        <v>10318.24</v>
      </c>
    </row>
    <row r="101" spans="1:7">
      <c r="A101" t="s">
        <v>116</v>
      </c>
      <c r="B101" t="s">
        <v>111</v>
      </c>
      <c r="C101" t="s">
        <v>9</v>
      </c>
      <c r="D101" t="s">
        <v>10</v>
      </c>
      <c r="E101" s="2">
        <v>30303</v>
      </c>
      <c r="F101" s="2">
        <v>16417.740000000002</v>
      </c>
      <c r="G101" s="2">
        <v>13885.26</v>
      </c>
    </row>
    <row r="102" spans="1:7">
      <c r="A102" t="s">
        <v>117</v>
      </c>
      <c r="B102" t="s">
        <v>111</v>
      </c>
      <c r="C102" t="s">
        <v>9</v>
      </c>
      <c r="D102" t="s">
        <v>10</v>
      </c>
      <c r="E102" s="2">
        <v>16775</v>
      </c>
      <c r="F102" s="2">
        <v>9599.69</v>
      </c>
      <c r="G102" s="2">
        <v>7175.31</v>
      </c>
    </row>
    <row r="103" spans="1:7">
      <c r="A103" t="s">
        <v>118</v>
      </c>
      <c r="B103" t="s">
        <v>111</v>
      </c>
      <c r="C103" t="s">
        <v>9</v>
      </c>
      <c r="D103" t="s">
        <v>10</v>
      </c>
      <c r="E103" s="2">
        <v>36174</v>
      </c>
      <c r="F103" s="2">
        <v>24028.69</v>
      </c>
      <c r="G103" s="2">
        <v>12145.31</v>
      </c>
    </row>
    <row r="104" spans="1:7">
      <c r="A104" t="s">
        <v>119</v>
      </c>
      <c r="B104" t="s">
        <v>111</v>
      </c>
      <c r="C104" t="s">
        <v>9</v>
      </c>
      <c r="D104" t="s">
        <v>15</v>
      </c>
      <c r="E104" s="2">
        <v>19118</v>
      </c>
      <c r="F104" s="2">
        <v>12692.99</v>
      </c>
      <c r="G104" s="2">
        <v>6425.01</v>
      </c>
    </row>
    <row r="105" spans="1:7">
      <c r="A105" t="s">
        <v>120</v>
      </c>
      <c r="B105" t="s">
        <v>111</v>
      </c>
      <c r="C105" t="s">
        <v>9</v>
      </c>
      <c r="D105" t="s">
        <v>15</v>
      </c>
      <c r="E105" s="2">
        <v>11580</v>
      </c>
      <c r="F105" s="2">
        <v>8455.27</v>
      </c>
      <c r="G105" s="2">
        <v>3124.73</v>
      </c>
    </row>
    <row r="106" spans="1:7">
      <c r="A106" t="s">
        <v>121</v>
      </c>
      <c r="B106" t="s">
        <v>111</v>
      </c>
      <c r="C106" t="s">
        <v>9</v>
      </c>
      <c r="D106" t="s">
        <v>15</v>
      </c>
      <c r="E106" s="2">
        <v>14232</v>
      </c>
      <c r="F106" s="2">
        <v>9900.43</v>
      </c>
      <c r="G106" s="2">
        <v>4331.57</v>
      </c>
    </row>
    <row r="107" spans="1:7">
      <c r="A107" t="s">
        <v>122</v>
      </c>
      <c r="B107" t="s">
        <v>111</v>
      </c>
      <c r="C107" t="s">
        <v>9</v>
      </c>
      <c r="D107" t="s">
        <v>15</v>
      </c>
      <c r="E107" s="2">
        <v>12593</v>
      </c>
      <c r="F107" s="2">
        <v>8933.15</v>
      </c>
      <c r="G107" s="2">
        <v>3659.85</v>
      </c>
    </row>
    <row r="108" spans="1:7">
      <c r="A108" t="s">
        <v>123</v>
      </c>
      <c r="B108" t="s">
        <v>111</v>
      </c>
      <c r="C108" t="s">
        <v>9</v>
      </c>
      <c r="D108" t="s">
        <v>15</v>
      </c>
      <c r="E108" s="2">
        <v>17127</v>
      </c>
      <c r="F108" s="2">
        <v>12065.71</v>
      </c>
      <c r="G108" s="2">
        <v>5061.29</v>
      </c>
    </row>
    <row r="109" spans="1:7">
      <c r="A109" t="s">
        <v>124</v>
      </c>
      <c r="B109" t="s">
        <v>111</v>
      </c>
      <c r="C109" t="s">
        <v>9</v>
      </c>
      <c r="D109" t="s">
        <v>15</v>
      </c>
      <c r="E109" s="2">
        <v>10470</v>
      </c>
      <c r="F109" s="2">
        <v>7400.45</v>
      </c>
      <c r="G109" s="2">
        <v>3069.55</v>
      </c>
    </row>
    <row r="110" spans="1:7">
      <c r="A110" t="s">
        <v>125</v>
      </c>
      <c r="B110" t="s">
        <v>111</v>
      </c>
      <c r="C110" t="s">
        <v>9</v>
      </c>
      <c r="D110" t="s">
        <v>15</v>
      </c>
      <c r="E110" s="2">
        <v>11208</v>
      </c>
      <c r="F110" s="2">
        <v>8450.0400000000009</v>
      </c>
      <c r="G110" s="2">
        <v>2757.96</v>
      </c>
    </row>
    <row r="111" spans="1:7">
      <c r="A111" t="s">
        <v>126</v>
      </c>
      <c r="B111" t="s">
        <v>111</v>
      </c>
      <c r="C111" t="s">
        <v>9</v>
      </c>
      <c r="D111" t="s">
        <v>20</v>
      </c>
      <c r="E111" s="2">
        <v>18697</v>
      </c>
      <c r="F111" s="2">
        <v>11723.92</v>
      </c>
      <c r="G111" s="2">
        <v>6973.08</v>
      </c>
    </row>
    <row r="112" spans="1:7">
      <c r="A112" t="s">
        <v>127</v>
      </c>
      <c r="B112" t="s">
        <v>111</v>
      </c>
      <c r="C112" t="s">
        <v>9</v>
      </c>
      <c r="D112" t="s">
        <v>20</v>
      </c>
      <c r="E112" s="2">
        <v>6528</v>
      </c>
      <c r="F112" s="2">
        <v>2937.6</v>
      </c>
      <c r="G112" s="2">
        <v>3590.4</v>
      </c>
    </row>
    <row r="113" spans="1:7">
      <c r="A113" t="s">
        <v>128</v>
      </c>
      <c r="B113" t="s">
        <v>111</v>
      </c>
      <c r="C113" t="s">
        <v>9</v>
      </c>
      <c r="D113" t="s">
        <v>20</v>
      </c>
      <c r="E113" s="2">
        <v>18905</v>
      </c>
      <c r="F113" s="2">
        <v>11016.4</v>
      </c>
      <c r="G113" s="2">
        <v>7888.6</v>
      </c>
    </row>
    <row r="114" spans="1:7">
      <c r="A114" t="s">
        <v>129</v>
      </c>
      <c r="B114" t="s">
        <v>111</v>
      </c>
      <c r="C114" t="s">
        <v>9</v>
      </c>
      <c r="D114" t="s">
        <v>20</v>
      </c>
      <c r="E114" s="2">
        <v>11658</v>
      </c>
      <c r="F114" s="2">
        <v>6212.22</v>
      </c>
      <c r="G114" s="2">
        <v>5445.78</v>
      </c>
    </row>
    <row r="115" spans="1:7">
      <c r="A115" t="s">
        <v>130</v>
      </c>
      <c r="B115" t="s">
        <v>111</v>
      </c>
      <c r="C115" t="s">
        <v>9</v>
      </c>
      <c r="D115" t="s">
        <v>20</v>
      </c>
      <c r="E115" s="2">
        <v>8502</v>
      </c>
      <c r="F115" s="2">
        <v>3886.01</v>
      </c>
      <c r="G115" s="2">
        <v>4615.99</v>
      </c>
    </row>
    <row r="116" spans="1:7">
      <c r="A116" t="s">
        <v>131</v>
      </c>
      <c r="B116" t="s">
        <v>111</v>
      </c>
      <c r="C116" t="s">
        <v>9</v>
      </c>
      <c r="D116" t="s">
        <v>20</v>
      </c>
      <c r="E116" s="2">
        <v>19785</v>
      </c>
      <c r="F116" s="2">
        <v>12232.53</v>
      </c>
      <c r="G116" s="2">
        <v>7552.47</v>
      </c>
    </row>
    <row r="117" spans="1:7">
      <c r="A117" t="s">
        <v>132</v>
      </c>
      <c r="B117" t="s">
        <v>111</v>
      </c>
      <c r="C117" t="s">
        <v>9</v>
      </c>
      <c r="D117" t="s">
        <v>20</v>
      </c>
      <c r="E117" s="2">
        <v>11209</v>
      </c>
      <c r="F117" s="2">
        <v>7056.84</v>
      </c>
      <c r="G117" s="2">
        <v>4152.16</v>
      </c>
    </row>
    <row r="118" spans="1:7">
      <c r="A118" t="s">
        <v>133</v>
      </c>
      <c r="B118" t="s">
        <v>111</v>
      </c>
      <c r="C118" t="s">
        <v>9</v>
      </c>
      <c r="D118" t="s">
        <v>20</v>
      </c>
      <c r="E118" s="2">
        <v>11396</v>
      </c>
      <c r="F118" s="2">
        <v>6575.03</v>
      </c>
      <c r="G118" s="2">
        <v>4820.97</v>
      </c>
    </row>
    <row r="119" spans="1:7">
      <c r="A119" t="s">
        <v>134</v>
      </c>
      <c r="B119" t="s">
        <v>111</v>
      </c>
      <c r="C119" t="s">
        <v>9</v>
      </c>
      <c r="D119" t="s">
        <v>29</v>
      </c>
      <c r="E119" s="2">
        <v>4336</v>
      </c>
      <c r="F119" s="2">
        <v>3502.18</v>
      </c>
      <c r="G119" s="2">
        <v>833.82</v>
      </c>
    </row>
    <row r="120" spans="1:7">
      <c r="A120" t="s">
        <v>135</v>
      </c>
      <c r="B120" t="s">
        <v>111</v>
      </c>
      <c r="C120" t="s">
        <v>9</v>
      </c>
      <c r="D120" t="s">
        <v>29</v>
      </c>
      <c r="E120" s="2">
        <v>7984</v>
      </c>
      <c r="F120" s="2">
        <v>5991.65</v>
      </c>
      <c r="G120" s="2">
        <v>1992.35</v>
      </c>
    </row>
    <row r="121" spans="1:7">
      <c r="A121" t="s">
        <v>136</v>
      </c>
      <c r="B121" t="s">
        <v>111</v>
      </c>
      <c r="C121" t="s">
        <v>9</v>
      </c>
      <c r="D121" t="s">
        <v>29</v>
      </c>
      <c r="E121" s="2">
        <v>6552</v>
      </c>
      <c r="F121" s="2">
        <v>5135.54</v>
      </c>
      <c r="G121" s="2">
        <v>1416.46</v>
      </c>
    </row>
    <row r="122" spans="1:7">
      <c r="A122" t="s">
        <v>137</v>
      </c>
      <c r="B122" t="s">
        <v>111</v>
      </c>
      <c r="C122" t="s">
        <v>9</v>
      </c>
      <c r="D122" t="s">
        <v>29</v>
      </c>
      <c r="E122" s="2">
        <v>5986</v>
      </c>
      <c r="F122" s="2">
        <v>4995.4399999999996</v>
      </c>
      <c r="G122" s="2">
        <v>990.56</v>
      </c>
    </row>
    <row r="123" spans="1:7">
      <c r="A123" t="s">
        <v>138</v>
      </c>
      <c r="B123" t="s">
        <v>111</v>
      </c>
      <c r="C123" t="s">
        <v>9</v>
      </c>
      <c r="D123" t="s">
        <v>29</v>
      </c>
      <c r="E123" s="2">
        <v>4430</v>
      </c>
      <c r="F123" s="2">
        <v>3669.06</v>
      </c>
      <c r="G123" s="2">
        <v>760.94</v>
      </c>
    </row>
    <row r="124" spans="1:7">
      <c r="A124" t="s">
        <v>139</v>
      </c>
      <c r="B124" t="s">
        <v>111</v>
      </c>
      <c r="C124" t="s">
        <v>9</v>
      </c>
      <c r="D124" t="s">
        <v>29</v>
      </c>
      <c r="E124" s="2">
        <v>2479</v>
      </c>
      <c r="F124" s="2">
        <v>1963.57</v>
      </c>
      <c r="G124" s="2">
        <v>515.42999999999995</v>
      </c>
    </row>
    <row r="125" spans="1:7">
      <c r="A125" t="s">
        <v>140</v>
      </c>
      <c r="B125" t="s">
        <v>111</v>
      </c>
      <c r="C125" t="s">
        <v>9</v>
      </c>
      <c r="D125" t="s">
        <v>29</v>
      </c>
      <c r="E125" s="2">
        <v>6441</v>
      </c>
      <c r="F125" s="2">
        <v>5435.59</v>
      </c>
      <c r="G125" s="2">
        <v>1005.41</v>
      </c>
    </row>
    <row r="126" spans="1:7">
      <c r="A126" t="s">
        <v>141</v>
      </c>
      <c r="B126" t="s">
        <v>111</v>
      </c>
      <c r="C126" t="s">
        <v>36</v>
      </c>
      <c r="D126" t="s">
        <v>10</v>
      </c>
      <c r="E126" s="2">
        <v>16873</v>
      </c>
      <c r="F126" s="2">
        <v>11338.27</v>
      </c>
      <c r="G126" s="2">
        <v>5534.73</v>
      </c>
    </row>
    <row r="127" spans="1:7">
      <c r="A127" t="s">
        <v>142</v>
      </c>
      <c r="B127" t="s">
        <v>111</v>
      </c>
      <c r="C127" t="s">
        <v>36</v>
      </c>
      <c r="D127" t="s">
        <v>10</v>
      </c>
      <c r="E127" s="2">
        <v>30623</v>
      </c>
      <c r="F127" s="2">
        <v>18359.830000000002</v>
      </c>
      <c r="G127" s="2">
        <v>12263.17</v>
      </c>
    </row>
    <row r="128" spans="1:7">
      <c r="A128" t="s">
        <v>143</v>
      </c>
      <c r="B128" t="s">
        <v>111</v>
      </c>
      <c r="C128" t="s">
        <v>36</v>
      </c>
      <c r="D128" t="s">
        <v>10</v>
      </c>
      <c r="E128" s="2">
        <v>42941</v>
      </c>
      <c r="F128" s="2">
        <v>25550.75</v>
      </c>
      <c r="G128" s="2">
        <v>17390.25</v>
      </c>
    </row>
    <row r="129" spans="1:7">
      <c r="A129" t="s">
        <v>144</v>
      </c>
      <c r="B129" t="s">
        <v>111</v>
      </c>
      <c r="C129" t="s">
        <v>36</v>
      </c>
      <c r="D129" t="s">
        <v>10</v>
      </c>
      <c r="E129" s="2">
        <v>16863</v>
      </c>
      <c r="F129" s="2">
        <v>8874.58</v>
      </c>
      <c r="G129" s="2">
        <v>7988.42</v>
      </c>
    </row>
    <row r="130" spans="1:7">
      <c r="A130" t="s">
        <v>145</v>
      </c>
      <c r="B130" t="s">
        <v>111</v>
      </c>
      <c r="C130" t="s">
        <v>36</v>
      </c>
      <c r="D130" t="s">
        <v>10</v>
      </c>
      <c r="E130" s="2">
        <v>17625</v>
      </c>
      <c r="F130" s="2">
        <v>9584.2099999999991</v>
      </c>
      <c r="G130" s="2">
        <v>8040.79</v>
      </c>
    </row>
    <row r="131" spans="1:7">
      <c r="A131" t="s">
        <v>146</v>
      </c>
      <c r="B131" t="s">
        <v>111</v>
      </c>
      <c r="C131" t="s">
        <v>36</v>
      </c>
      <c r="D131" t="s">
        <v>10</v>
      </c>
      <c r="E131" s="2">
        <v>17245</v>
      </c>
      <c r="F131" s="2">
        <v>10084.780000000001</v>
      </c>
      <c r="G131" s="2">
        <v>7160.22</v>
      </c>
    </row>
    <row r="132" spans="1:7">
      <c r="A132" t="s">
        <v>147</v>
      </c>
      <c r="B132" t="s">
        <v>111</v>
      </c>
      <c r="C132" t="s">
        <v>36</v>
      </c>
      <c r="D132" t="s">
        <v>15</v>
      </c>
      <c r="E132" s="2">
        <v>21230</v>
      </c>
      <c r="F132" s="2">
        <v>15829.38</v>
      </c>
      <c r="G132" s="2">
        <v>5400.62</v>
      </c>
    </row>
    <row r="133" spans="1:7">
      <c r="A133" t="s">
        <v>148</v>
      </c>
      <c r="B133" t="s">
        <v>111</v>
      </c>
      <c r="C133" t="s">
        <v>36</v>
      </c>
      <c r="D133" t="s">
        <v>15</v>
      </c>
      <c r="E133" s="2">
        <v>16067</v>
      </c>
      <c r="F133" s="2">
        <v>11094.74</v>
      </c>
      <c r="G133" s="2">
        <v>4972.26</v>
      </c>
    </row>
    <row r="134" spans="1:7">
      <c r="A134" t="s">
        <v>149</v>
      </c>
      <c r="B134" t="s">
        <v>111</v>
      </c>
      <c r="C134" t="s">
        <v>36</v>
      </c>
      <c r="D134" t="s">
        <v>15</v>
      </c>
      <c r="E134" s="2">
        <v>9302</v>
      </c>
      <c r="F134" s="2">
        <v>6378.14</v>
      </c>
      <c r="G134" s="2">
        <v>2923.86</v>
      </c>
    </row>
    <row r="135" spans="1:7">
      <c r="A135" t="s">
        <v>150</v>
      </c>
      <c r="B135" t="s">
        <v>111</v>
      </c>
      <c r="C135" t="s">
        <v>36</v>
      </c>
      <c r="D135" t="s">
        <v>15</v>
      </c>
      <c r="E135" s="2">
        <v>21737</v>
      </c>
      <c r="F135" s="2">
        <v>14805.4</v>
      </c>
      <c r="G135" s="2">
        <v>6931.6</v>
      </c>
    </row>
    <row r="136" spans="1:7">
      <c r="A136" t="s">
        <v>151</v>
      </c>
      <c r="B136" t="s">
        <v>111</v>
      </c>
      <c r="C136" t="s">
        <v>36</v>
      </c>
      <c r="D136" t="s">
        <v>15</v>
      </c>
      <c r="E136" s="2">
        <v>18366</v>
      </c>
      <c r="F136" s="2">
        <v>11898.14</v>
      </c>
      <c r="G136" s="2">
        <v>6467.86</v>
      </c>
    </row>
    <row r="137" spans="1:7">
      <c r="A137" t="s">
        <v>152</v>
      </c>
      <c r="B137" t="s">
        <v>111</v>
      </c>
      <c r="C137" t="s">
        <v>36</v>
      </c>
      <c r="D137" t="s">
        <v>20</v>
      </c>
      <c r="E137" s="2">
        <v>15972</v>
      </c>
      <c r="F137" s="2">
        <v>7774.56</v>
      </c>
      <c r="G137" s="2">
        <v>8197.44</v>
      </c>
    </row>
    <row r="138" spans="1:7">
      <c r="A138" t="s">
        <v>153</v>
      </c>
      <c r="B138" t="s">
        <v>111</v>
      </c>
      <c r="C138" t="s">
        <v>36</v>
      </c>
      <c r="D138" t="s">
        <v>20</v>
      </c>
      <c r="E138" s="2">
        <v>8910</v>
      </c>
      <c r="F138" s="2">
        <v>5139.97</v>
      </c>
      <c r="G138" s="2">
        <v>3770.03</v>
      </c>
    </row>
    <row r="139" spans="1:7">
      <c r="A139" t="s">
        <v>154</v>
      </c>
      <c r="B139" t="s">
        <v>111</v>
      </c>
      <c r="C139" t="s">
        <v>36</v>
      </c>
      <c r="D139" t="s">
        <v>20</v>
      </c>
      <c r="E139" s="2">
        <v>7144</v>
      </c>
      <c r="F139" s="2">
        <v>3541.01</v>
      </c>
      <c r="G139" s="2">
        <v>3602.99</v>
      </c>
    </row>
    <row r="140" spans="1:7">
      <c r="A140" t="s">
        <v>155</v>
      </c>
      <c r="B140" t="s">
        <v>111</v>
      </c>
      <c r="C140" t="s">
        <v>36</v>
      </c>
      <c r="D140" t="s">
        <v>20</v>
      </c>
      <c r="E140" s="2">
        <v>9915</v>
      </c>
      <c r="F140" s="2">
        <v>5339.77</v>
      </c>
      <c r="G140" s="2">
        <v>4575.2299999999996</v>
      </c>
    </row>
    <row r="141" spans="1:7">
      <c r="A141" t="s">
        <v>156</v>
      </c>
      <c r="B141" t="s">
        <v>111</v>
      </c>
      <c r="C141" t="s">
        <v>36</v>
      </c>
      <c r="D141" t="s">
        <v>20</v>
      </c>
      <c r="E141" s="2">
        <v>17318</v>
      </c>
      <c r="F141" s="2">
        <v>7793.1</v>
      </c>
      <c r="G141" s="2">
        <v>9524.9</v>
      </c>
    </row>
    <row r="142" spans="1:7">
      <c r="A142" t="s">
        <v>157</v>
      </c>
      <c r="B142" t="s">
        <v>111</v>
      </c>
      <c r="C142" t="s">
        <v>36</v>
      </c>
      <c r="D142" t="s">
        <v>29</v>
      </c>
      <c r="E142" s="2">
        <v>5754</v>
      </c>
      <c r="F142" s="2">
        <v>4533.4799999999996</v>
      </c>
      <c r="G142" s="2">
        <v>1220.52</v>
      </c>
    </row>
    <row r="143" spans="1:7">
      <c r="A143" t="s">
        <v>158</v>
      </c>
      <c r="B143" t="s">
        <v>111</v>
      </c>
      <c r="C143" t="s">
        <v>36</v>
      </c>
      <c r="D143" t="s">
        <v>29</v>
      </c>
      <c r="E143" s="2">
        <v>6612</v>
      </c>
      <c r="F143" s="2">
        <v>4961.58</v>
      </c>
      <c r="G143" s="2">
        <v>1650.42</v>
      </c>
    </row>
    <row r="144" spans="1:7">
      <c r="A144" t="s">
        <v>159</v>
      </c>
      <c r="B144" t="s">
        <v>111</v>
      </c>
      <c r="C144" t="s">
        <v>36</v>
      </c>
      <c r="D144" t="s">
        <v>29</v>
      </c>
      <c r="E144" s="2">
        <v>2600</v>
      </c>
      <c r="F144" s="2">
        <v>2070.2199999999998</v>
      </c>
      <c r="G144" s="2">
        <v>529.78</v>
      </c>
    </row>
    <row r="145" spans="1:7">
      <c r="A145" t="s">
        <v>160</v>
      </c>
      <c r="B145" t="s">
        <v>111</v>
      </c>
      <c r="C145" t="s">
        <v>36</v>
      </c>
      <c r="D145" t="s">
        <v>29</v>
      </c>
      <c r="E145" s="2">
        <v>6144</v>
      </c>
      <c r="F145" s="2">
        <v>5059.46</v>
      </c>
      <c r="G145" s="2">
        <v>1084.54</v>
      </c>
    </row>
    <row r="146" spans="1:7">
      <c r="A146" t="s">
        <v>161</v>
      </c>
      <c r="B146" t="s">
        <v>111</v>
      </c>
      <c r="C146" t="s">
        <v>64</v>
      </c>
      <c r="D146" t="s">
        <v>10</v>
      </c>
      <c r="E146" s="2">
        <v>43864</v>
      </c>
      <c r="F146" s="2">
        <v>29344.73</v>
      </c>
      <c r="G146" s="2">
        <v>14519.27</v>
      </c>
    </row>
    <row r="147" spans="1:7">
      <c r="A147" t="s">
        <v>162</v>
      </c>
      <c r="B147" t="s">
        <v>111</v>
      </c>
      <c r="C147" t="s">
        <v>64</v>
      </c>
      <c r="D147" t="s">
        <v>10</v>
      </c>
      <c r="E147" s="2">
        <v>23004</v>
      </c>
      <c r="F147" s="2">
        <v>14282.62</v>
      </c>
      <c r="G147" s="2">
        <v>8721.3799999999992</v>
      </c>
    </row>
    <row r="148" spans="1:7">
      <c r="A148" t="s">
        <v>163</v>
      </c>
      <c r="B148" t="s">
        <v>111</v>
      </c>
      <c r="C148" t="s">
        <v>64</v>
      </c>
      <c r="D148" t="s">
        <v>10</v>
      </c>
      <c r="E148" s="2">
        <v>20169</v>
      </c>
      <c r="F148" s="2">
        <v>12300.88</v>
      </c>
      <c r="G148" s="2">
        <v>7868.12</v>
      </c>
    </row>
    <row r="149" spans="1:7">
      <c r="A149" t="s">
        <v>164</v>
      </c>
      <c r="B149" t="s">
        <v>111</v>
      </c>
      <c r="C149" t="s">
        <v>64</v>
      </c>
      <c r="D149" t="s">
        <v>10</v>
      </c>
      <c r="E149" s="2">
        <v>32800</v>
      </c>
      <c r="F149" s="2">
        <v>18611.82</v>
      </c>
      <c r="G149" s="2">
        <v>14188.18</v>
      </c>
    </row>
    <row r="150" spans="1:7">
      <c r="A150" t="s">
        <v>165</v>
      </c>
      <c r="B150" t="s">
        <v>111</v>
      </c>
      <c r="C150" t="s">
        <v>64</v>
      </c>
      <c r="D150" t="s">
        <v>10</v>
      </c>
      <c r="E150" s="2">
        <v>35043</v>
      </c>
      <c r="F150" s="2">
        <v>18312.89</v>
      </c>
      <c r="G150" s="2">
        <v>16730.11</v>
      </c>
    </row>
    <row r="151" spans="1:7">
      <c r="A151" t="s">
        <v>166</v>
      </c>
      <c r="B151" t="s">
        <v>111</v>
      </c>
      <c r="C151" t="s">
        <v>64</v>
      </c>
      <c r="D151" t="s">
        <v>10</v>
      </c>
      <c r="E151" s="2">
        <v>41447</v>
      </c>
      <c r="F151" s="2">
        <v>23847.1</v>
      </c>
      <c r="G151" s="2">
        <v>17599.900000000001</v>
      </c>
    </row>
    <row r="152" spans="1:7">
      <c r="A152" t="s">
        <v>167</v>
      </c>
      <c r="B152" t="s">
        <v>111</v>
      </c>
      <c r="C152" t="s">
        <v>64</v>
      </c>
      <c r="D152" t="s">
        <v>15</v>
      </c>
      <c r="E152" s="2">
        <v>17810</v>
      </c>
      <c r="F152" s="2">
        <v>11544.25</v>
      </c>
      <c r="G152" s="2">
        <v>6265.75</v>
      </c>
    </row>
    <row r="153" spans="1:7">
      <c r="A153" t="s">
        <v>168</v>
      </c>
      <c r="B153" t="s">
        <v>111</v>
      </c>
      <c r="C153" t="s">
        <v>64</v>
      </c>
      <c r="D153" t="s">
        <v>15</v>
      </c>
      <c r="E153" s="2">
        <v>11394</v>
      </c>
      <c r="F153" s="2">
        <v>7375.66</v>
      </c>
      <c r="G153" s="2">
        <v>4018.34</v>
      </c>
    </row>
    <row r="154" spans="1:7">
      <c r="A154" t="s">
        <v>169</v>
      </c>
      <c r="B154" t="s">
        <v>111</v>
      </c>
      <c r="C154" t="s">
        <v>64</v>
      </c>
      <c r="D154" t="s">
        <v>15</v>
      </c>
      <c r="E154" s="2">
        <v>12400</v>
      </c>
      <c r="F154" s="2">
        <v>9030.4699999999993</v>
      </c>
      <c r="G154" s="2">
        <v>3369.53</v>
      </c>
    </row>
    <row r="155" spans="1:7">
      <c r="A155" t="s">
        <v>170</v>
      </c>
      <c r="B155" t="s">
        <v>111</v>
      </c>
      <c r="C155" t="s">
        <v>64</v>
      </c>
      <c r="D155" t="s">
        <v>15</v>
      </c>
      <c r="E155" s="2">
        <v>11507</v>
      </c>
      <c r="F155" s="2">
        <v>7720.16</v>
      </c>
      <c r="G155" s="2">
        <v>3786.84</v>
      </c>
    </row>
    <row r="156" spans="1:7">
      <c r="A156" t="s">
        <v>171</v>
      </c>
      <c r="B156" t="s">
        <v>111</v>
      </c>
      <c r="C156" t="s">
        <v>64</v>
      </c>
      <c r="D156" t="s">
        <v>20</v>
      </c>
      <c r="E156" s="2">
        <v>9462</v>
      </c>
      <c r="F156" s="2">
        <v>5427.86</v>
      </c>
      <c r="G156" s="2">
        <v>4034.14</v>
      </c>
    </row>
    <row r="157" spans="1:7">
      <c r="A157" t="s">
        <v>172</v>
      </c>
      <c r="B157" t="s">
        <v>111</v>
      </c>
      <c r="C157" t="s">
        <v>64</v>
      </c>
      <c r="D157" t="s">
        <v>20</v>
      </c>
      <c r="E157" s="2">
        <v>8450</v>
      </c>
      <c r="F157" s="2">
        <v>4110.74</v>
      </c>
      <c r="G157" s="2">
        <v>4339.26</v>
      </c>
    </row>
    <row r="158" spans="1:7">
      <c r="A158" t="s">
        <v>173</v>
      </c>
      <c r="B158" t="s">
        <v>111</v>
      </c>
      <c r="C158" t="s">
        <v>64</v>
      </c>
      <c r="D158" t="s">
        <v>20</v>
      </c>
      <c r="E158" s="2">
        <v>8335</v>
      </c>
      <c r="F158" s="2">
        <v>4104.99</v>
      </c>
      <c r="G158" s="2">
        <v>4230.01</v>
      </c>
    </row>
    <row r="159" spans="1:7">
      <c r="A159" t="s">
        <v>174</v>
      </c>
      <c r="B159" t="s">
        <v>111</v>
      </c>
      <c r="C159" t="s">
        <v>64</v>
      </c>
      <c r="D159" t="s">
        <v>20</v>
      </c>
      <c r="E159" s="2">
        <v>18974</v>
      </c>
      <c r="F159" s="2">
        <v>10951.85</v>
      </c>
      <c r="G159" s="2">
        <v>8022.15</v>
      </c>
    </row>
    <row r="160" spans="1:7">
      <c r="A160" t="s">
        <v>175</v>
      </c>
      <c r="B160" t="s">
        <v>111</v>
      </c>
      <c r="C160" t="s">
        <v>64</v>
      </c>
      <c r="D160" t="s">
        <v>20</v>
      </c>
      <c r="E160" s="2">
        <v>13004</v>
      </c>
      <c r="F160" s="2">
        <v>7539.4</v>
      </c>
      <c r="G160" s="2">
        <v>5464.6</v>
      </c>
    </row>
    <row r="161" spans="1:7">
      <c r="A161" t="s">
        <v>176</v>
      </c>
      <c r="B161" t="s">
        <v>111</v>
      </c>
      <c r="C161" t="s">
        <v>64</v>
      </c>
      <c r="D161" t="s">
        <v>29</v>
      </c>
      <c r="E161" s="2">
        <v>2756</v>
      </c>
      <c r="F161" s="2">
        <v>2167.79</v>
      </c>
      <c r="G161" s="2">
        <v>588.21</v>
      </c>
    </row>
    <row r="162" spans="1:7">
      <c r="A162" t="s">
        <v>177</v>
      </c>
      <c r="B162" t="s">
        <v>111</v>
      </c>
      <c r="C162" t="s">
        <v>64</v>
      </c>
      <c r="D162" t="s">
        <v>29</v>
      </c>
      <c r="E162" s="2">
        <v>4266</v>
      </c>
      <c r="F162" s="2">
        <v>3607.29</v>
      </c>
      <c r="G162" s="2">
        <v>658.71</v>
      </c>
    </row>
    <row r="163" spans="1:7">
      <c r="A163" t="s">
        <v>178</v>
      </c>
      <c r="B163" t="s">
        <v>111</v>
      </c>
      <c r="C163" t="s">
        <v>64</v>
      </c>
      <c r="D163" t="s">
        <v>29</v>
      </c>
      <c r="E163" s="2">
        <v>4732</v>
      </c>
      <c r="F163" s="2">
        <v>3657.31</v>
      </c>
      <c r="G163" s="2">
        <v>1074.69</v>
      </c>
    </row>
    <row r="164" spans="1:7">
      <c r="A164" t="s">
        <v>179</v>
      </c>
      <c r="B164" t="s">
        <v>111</v>
      </c>
      <c r="C164" t="s">
        <v>64</v>
      </c>
      <c r="D164" t="s">
        <v>29</v>
      </c>
      <c r="E164" s="2">
        <v>7219</v>
      </c>
      <c r="F164" s="2">
        <v>5428.83</v>
      </c>
      <c r="G164" s="2">
        <v>1790.17</v>
      </c>
    </row>
    <row r="165" spans="1:7">
      <c r="A165" t="s">
        <v>180</v>
      </c>
      <c r="B165" t="s">
        <v>111</v>
      </c>
      <c r="C165" t="s">
        <v>87</v>
      </c>
      <c r="D165" t="s">
        <v>10</v>
      </c>
      <c r="E165" s="2">
        <v>39288</v>
      </c>
      <c r="F165" s="2">
        <v>23938.43</v>
      </c>
      <c r="G165" s="2">
        <v>15349.57</v>
      </c>
    </row>
    <row r="166" spans="1:7">
      <c r="A166" t="s">
        <v>181</v>
      </c>
      <c r="B166" t="s">
        <v>111</v>
      </c>
      <c r="C166" t="s">
        <v>87</v>
      </c>
      <c r="D166" t="s">
        <v>10</v>
      </c>
      <c r="E166" s="2">
        <v>38123</v>
      </c>
      <c r="F166" s="2">
        <v>23314.89</v>
      </c>
      <c r="G166" s="2">
        <v>14808.11</v>
      </c>
    </row>
    <row r="167" spans="1:7">
      <c r="A167" t="s">
        <v>182</v>
      </c>
      <c r="B167" t="s">
        <v>111</v>
      </c>
      <c r="C167" t="s">
        <v>87</v>
      </c>
      <c r="D167" t="s">
        <v>10</v>
      </c>
      <c r="E167" s="2">
        <v>15316</v>
      </c>
      <c r="F167" s="2">
        <v>10140.73</v>
      </c>
      <c r="G167" s="2">
        <v>5175.2700000000004</v>
      </c>
    </row>
    <row r="168" spans="1:7">
      <c r="A168" t="s">
        <v>183</v>
      </c>
      <c r="B168" t="s">
        <v>111</v>
      </c>
      <c r="C168" t="s">
        <v>87</v>
      </c>
      <c r="D168" t="s">
        <v>10</v>
      </c>
      <c r="E168" s="2">
        <v>43937</v>
      </c>
      <c r="F168" s="2">
        <v>25019.35</v>
      </c>
      <c r="G168" s="2">
        <v>18917.650000000001</v>
      </c>
    </row>
    <row r="169" spans="1:7">
      <c r="A169" t="s">
        <v>184</v>
      </c>
      <c r="B169" t="s">
        <v>111</v>
      </c>
      <c r="C169" t="s">
        <v>87</v>
      </c>
      <c r="D169" t="s">
        <v>10</v>
      </c>
      <c r="E169" s="2">
        <v>19884</v>
      </c>
      <c r="F169" s="2">
        <v>11785.36</v>
      </c>
      <c r="G169" s="2">
        <v>8098.64</v>
      </c>
    </row>
    <row r="170" spans="1:7">
      <c r="A170" t="s">
        <v>185</v>
      </c>
      <c r="B170" t="s">
        <v>111</v>
      </c>
      <c r="C170" t="s">
        <v>87</v>
      </c>
      <c r="D170" t="s">
        <v>15</v>
      </c>
      <c r="E170" s="2">
        <v>12852</v>
      </c>
      <c r="F170" s="2">
        <v>9104.69</v>
      </c>
      <c r="G170" s="2">
        <v>3747.31</v>
      </c>
    </row>
    <row r="171" spans="1:7">
      <c r="A171" t="s">
        <v>186</v>
      </c>
      <c r="B171" t="s">
        <v>111</v>
      </c>
      <c r="C171" t="s">
        <v>87</v>
      </c>
      <c r="D171" t="s">
        <v>15</v>
      </c>
      <c r="E171" s="2">
        <v>9370</v>
      </c>
      <c r="F171" s="2">
        <v>6774.59</v>
      </c>
      <c r="G171" s="2">
        <v>2595.41</v>
      </c>
    </row>
    <row r="172" spans="1:7">
      <c r="A172" t="s">
        <v>187</v>
      </c>
      <c r="B172" t="s">
        <v>111</v>
      </c>
      <c r="C172" t="s">
        <v>87</v>
      </c>
      <c r="D172" t="s">
        <v>15</v>
      </c>
      <c r="E172" s="2">
        <v>9307</v>
      </c>
      <c r="F172" s="2">
        <v>6069.37</v>
      </c>
      <c r="G172" s="2">
        <v>3237.63</v>
      </c>
    </row>
    <row r="173" spans="1:7">
      <c r="A173" t="s">
        <v>188</v>
      </c>
      <c r="B173" t="s">
        <v>111</v>
      </c>
      <c r="C173" t="s">
        <v>87</v>
      </c>
      <c r="D173" t="s">
        <v>15</v>
      </c>
      <c r="E173" s="2">
        <v>14883</v>
      </c>
      <c r="F173" s="2">
        <v>10092.94</v>
      </c>
      <c r="G173" s="2">
        <v>4790.0600000000004</v>
      </c>
    </row>
    <row r="174" spans="1:7">
      <c r="A174" t="s">
        <v>189</v>
      </c>
      <c r="B174" t="s">
        <v>111</v>
      </c>
      <c r="C174" t="s">
        <v>87</v>
      </c>
      <c r="D174" t="s">
        <v>15</v>
      </c>
      <c r="E174" s="2">
        <v>11368</v>
      </c>
      <c r="F174" s="2">
        <v>8157.21</v>
      </c>
      <c r="G174" s="2">
        <v>3210.79</v>
      </c>
    </row>
    <row r="175" spans="1:7">
      <c r="A175" t="s">
        <v>190</v>
      </c>
      <c r="B175" t="s">
        <v>111</v>
      </c>
      <c r="C175" t="s">
        <v>87</v>
      </c>
      <c r="D175" t="s">
        <v>15</v>
      </c>
      <c r="E175" s="2">
        <v>21316</v>
      </c>
      <c r="F175" s="2">
        <v>13709.16</v>
      </c>
      <c r="G175" s="2">
        <v>7606.84</v>
      </c>
    </row>
    <row r="176" spans="1:7">
      <c r="A176" t="s">
        <v>191</v>
      </c>
      <c r="B176" t="s">
        <v>111</v>
      </c>
      <c r="C176" t="s">
        <v>87</v>
      </c>
      <c r="D176" t="s">
        <v>20</v>
      </c>
      <c r="E176" s="2">
        <v>8878</v>
      </c>
      <c r="F176" s="2">
        <v>4057.95</v>
      </c>
      <c r="G176" s="2">
        <v>4820.05</v>
      </c>
    </row>
    <row r="177" spans="1:7">
      <c r="A177" t="s">
        <v>192</v>
      </c>
      <c r="B177" t="s">
        <v>111</v>
      </c>
      <c r="C177" t="s">
        <v>87</v>
      </c>
      <c r="D177" t="s">
        <v>20</v>
      </c>
      <c r="E177" s="2">
        <v>18105</v>
      </c>
      <c r="F177" s="2">
        <v>8470.35</v>
      </c>
      <c r="G177" s="2">
        <v>9634.65</v>
      </c>
    </row>
    <row r="178" spans="1:7">
      <c r="A178" t="s">
        <v>193</v>
      </c>
      <c r="B178" t="s">
        <v>111</v>
      </c>
      <c r="C178" t="s">
        <v>87</v>
      </c>
      <c r="D178" t="s">
        <v>20</v>
      </c>
      <c r="E178" s="2">
        <v>19441</v>
      </c>
      <c r="F178" s="2">
        <v>10644.75</v>
      </c>
      <c r="G178" s="2">
        <v>8796.25</v>
      </c>
    </row>
    <row r="179" spans="1:7">
      <c r="A179" t="s">
        <v>194</v>
      </c>
      <c r="B179" t="s">
        <v>111</v>
      </c>
      <c r="C179" t="s">
        <v>87</v>
      </c>
      <c r="D179" t="s">
        <v>20</v>
      </c>
      <c r="E179" s="2">
        <v>7938</v>
      </c>
      <c r="F179" s="2">
        <v>3831.57</v>
      </c>
      <c r="G179" s="2">
        <v>4106.43</v>
      </c>
    </row>
    <row r="180" spans="1:7">
      <c r="A180" t="s">
        <v>195</v>
      </c>
      <c r="B180" t="s">
        <v>111</v>
      </c>
      <c r="C180" t="s">
        <v>87</v>
      </c>
      <c r="D180" t="s">
        <v>20</v>
      </c>
      <c r="E180" s="2">
        <v>10442</v>
      </c>
      <c r="F180" s="2">
        <v>4944.5200000000004</v>
      </c>
      <c r="G180" s="2">
        <v>5497.48</v>
      </c>
    </row>
    <row r="181" spans="1:7">
      <c r="A181" t="s">
        <v>196</v>
      </c>
      <c r="B181" t="s">
        <v>111</v>
      </c>
      <c r="C181" t="s">
        <v>87</v>
      </c>
      <c r="D181" t="s">
        <v>29</v>
      </c>
      <c r="E181" s="2">
        <v>7487</v>
      </c>
      <c r="F181" s="2">
        <v>5717.03</v>
      </c>
      <c r="G181" s="2">
        <v>1769.97</v>
      </c>
    </row>
    <row r="182" spans="1:7">
      <c r="A182" t="s">
        <v>197</v>
      </c>
      <c r="B182" t="s">
        <v>111</v>
      </c>
      <c r="C182" t="s">
        <v>87</v>
      </c>
      <c r="D182" t="s">
        <v>29</v>
      </c>
      <c r="E182" s="2">
        <v>4032</v>
      </c>
      <c r="F182" s="2">
        <v>3319.62</v>
      </c>
      <c r="G182" s="2">
        <v>712.38</v>
      </c>
    </row>
    <row r="183" spans="1:7">
      <c r="A183" t="s">
        <v>198</v>
      </c>
      <c r="B183" t="s">
        <v>111</v>
      </c>
      <c r="C183" t="s">
        <v>87</v>
      </c>
      <c r="D183" t="s">
        <v>29</v>
      </c>
      <c r="E183" s="2">
        <v>7744</v>
      </c>
      <c r="F183" s="2">
        <v>6498.69</v>
      </c>
      <c r="G183" s="2">
        <v>1245.31</v>
      </c>
    </row>
    <row r="184" spans="1:7">
      <c r="A184" t="s">
        <v>199</v>
      </c>
      <c r="B184" t="s">
        <v>111</v>
      </c>
      <c r="C184" t="s">
        <v>87</v>
      </c>
      <c r="D184" t="s">
        <v>29</v>
      </c>
      <c r="E184" s="2">
        <v>2317</v>
      </c>
      <c r="F184" s="2">
        <v>1770.51</v>
      </c>
      <c r="G184" s="2">
        <v>546.49</v>
      </c>
    </row>
    <row r="185" spans="1:7">
      <c r="A185" t="s">
        <v>200</v>
      </c>
      <c r="B185" t="s">
        <v>111</v>
      </c>
      <c r="C185" t="s">
        <v>87</v>
      </c>
      <c r="D185" t="s">
        <v>29</v>
      </c>
      <c r="E185" s="2">
        <v>3822</v>
      </c>
      <c r="F185" s="2">
        <v>3172.42</v>
      </c>
      <c r="G185" s="2">
        <v>649.58000000000004</v>
      </c>
    </row>
    <row r="186" spans="1:7">
      <c r="A186" t="s">
        <v>201</v>
      </c>
      <c r="B186" t="s">
        <v>111</v>
      </c>
      <c r="C186" t="s">
        <v>87</v>
      </c>
      <c r="D186" t="s">
        <v>29</v>
      </c>
      <c r="E186" s="2">
        <v>5770</v>
      </c>
      <c r="F186" s="2">
        <v>4702.75</v>
      </c>
      <c r="G186" s="2">
        <v>1067.25</v>
      </c>
    </row>
    <row r="187" spans="1:7">
      <c r="A187" t="s">
        <v>202</v>
      </c>
      <c r="B187" t="s">
        <v>111</v>
      </c>
      <c r="C187" t="s">
        <v>87</v>
      </c>
      <c r="D187" t="s">
        <v>29</v>
      </c>
      <c r="E187" s="2">
        <v>3864</v>
      </c>
      <c r="F187" s="2">
        <v>3198.26</v>
      </c>
      <c r="G187" s="2">
        <v>665.74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topLeftCell="A35" workbookViewId="0">
      <selection activeCell="I35" sqref="I35"/>
    </sheetView>
  </sheetViews>
  <sheetFormatPr defaultRowHeight="15"/>
  <cols>
    <col min="1" max="1" width="18" customWidth="1"/>
    <col min="2" max="2" width="12" customWidth="1"/>
    <col min="3" max="3" width="14" customWidth="1"/>
    <col min="4" max="5" width="18" customWidth="1"/>
    <col min="6" max="6" width="16" customWidth="1"/>
    <col min="7" max="7" width="14" customWidth="1"/>
  </cols>
  <sheetData>
    <row r="1" spans="1:8">
      <c r="A1" s="10" t="s">
        <v>203</v>
      </c>
      <c r="B1" s="8"/>
      <c r="C1" s="8"/>
      <c r="D1" s="8"/>
      <c r="E1" s="8"/>
      <c r="F1" s="8"/>
      <c r="G1" s="8"/>
      <c r="H1" s="8"/>
    </row>
    <row r="3" spans="1:8">
      <c r="A3" s="7" t="s">
        <v>204</v>
      </c>
      <c r="B3" s="8"/>
      <c r="C3" s="8"/>
      <c r="D3" s="8"/>
      <c r="E3" s="8"/>
      <c r="F3" s="8"/>
      <c r="G3" s="8"/>
      <c r="H3" s="8"/>
    </row>
    <row r="5" spans="1:8">
      <c r="A5" s="3" t="s">
        <v>205</v>
      </c>
    </row>
    <row r="7" spans="1:8">
      <c r="A7" s="4" t="s">
        <v>3</v>
      </c>
      <c r="B7" s="4" t="s">
        <v>2</v>
      </c>
      <c r="C7" s="4" t="s">
        <v>206</v>
      </c>
      <c r="D7" s="4" t="s">
        <v>207</v>
      </c>
      <c r="E7" s="4" t="s">
        <v>208</v>
      </c>
      <c r="F7" s="4" t="s">
        <v>209</v>
      </c>
      <c r="G7" s="4" t="s">
        <v>210</v>
      </c>
    </row>
    <row r="8" spans="1:8">
      <c r="A8" t="s">
        <v>10</v>
      </c>
      <c r="B8" t="s">
        <v>211</v>
      </c>
      <c r="C8" s="5">
        <f>SUMIFS('Raw Data'!E:E, 'Raw Data'!D:D, A8, 'Raw Data'!B:B, LEFT(B8,4), 'Raw Data'!C:C, RIGHT(B8,2))</f>
        <v>117245</v>
      </c>
      <c r="D8" s="6" cm="1">
        <f t="array" ref="D8">SUMPRODUCT(('Raw Data'!$D$2:$D$500=A8)*('Raw Data'!$B$2:$B$500&amp;" "&amp;'Raw Data'!$C$2:$C$500=B8)*('Raw Data'!$G$2:$G$500))/C8</f>
        <v>0.37630713463260695</v>
      </c>
      <c r="E8" s="6" t="str">
        <f>IF(B8="2023 Q1", "N/A", D8-D7)</f>
        <v>N/A</v>
      </c>
      <c r="F8" s="6" t="str" cm="1">
        <f t="array" ref="F8">IF(LEFT(B8, 4)="2023", "N/A", D8 - INDEX($D$8:$D$39, MATCH(1, ($A$8:$A$39=A8) * ($B$8:$B$39=(LEFT(B8, 4)-1)&amp;RIGHT(B8, 3)), 0)))</f>
        <v>N/A</v>
      </c>
      <c r="G8" t="str">
        <f>IF(D8&gt;0.35, "Strong", IF(D8&gt;=0.2, "Moderate", "At Risk"))</f>
        <v>Strong</v>
      </c>
    </row>
    <row r="9" spans="1:8">
      <c r="A9" t="s">
        <v>10</v>
      </c>
      <c r="B9" t="s">
        <v>212</v>
      </c>
      <c r="C9" s="5">
        <f>SUMIFS('Raw Data'!E:E, 'Raw Data'!D:D, A9, 'Raw Data'!B:B, LEFT(B9,4), 'Raw Data'!C:C, RIGHT(B9,2))</f>
        <v>158778</v>
      </c>
      <c r="D9" s="6" cm="1">
        <f t="array" ref="D9">SUMPRODUCT(('Raw Data'!$D$2:$D$500=A9)*('Raw Data'!$B$2:$B$500&amp;" "&amp;'Raw Data'!$C$2:$C$500=B9)*('Raw Data'!$G$2:$G$500))/C9</f>
        <v>0.35548514277796672</v>
      </c>
      <c r="E9" s="6">
        <f>IF(B9="2023 Q1", "N/A", D9-D8)</f>
        <v>-2.0821991854640232E-2</v>
      </c>
      <c r="F9" s="6" t="str" cm="1">
        <f t="array" ref="F9">IF(LEFT(B9, 4)="2023", "N/A", D9 - INDEX($D$8:$D$39, MATCH(1, ($A$8:$A$39=A9) * ($B$8:$B$39=(LEFT(B9, 4)-1)&amp;RIGHT(B9, 3)), 0)))</f>
        <v>N/A</v>
      </c>
      <c r="G9" t="str">
        <f>IF(D9&gt;0.35, "Strong", IF(D9&gt;=0.2, "Moderate", "At Risk"))</f>
        <v>Strong</v>
      </c>
    </row>
    <row r="10" spans="1:8">
      <c r="A10" t="s">
        <v>10</v>
      </c>
      <c r="B10" t="s">
        <v>213</v>
      </c>
      <c r="C10" s="5">
        <f>SUMIFS('Raw Data'!E:E, 'Raw Data'!D:D, A10, 'Raw Data'!B:B, LEFT(B10,4), 'Raw Data'!C:C, RIGHT(B10,2))</f>
        <v>139128</v>
      </c>
      <c r="D10" s="6" cm="1">
        <f t="array" ref="D10">SUMPRODUCT(('Raw Data'!$D$2:$D$500=A10)*('Raw Data'!$B$2:$B$500&amp;" "&amp;'Raw Data'!$C$2:$C$500=B10)*('Raw Data'!$G$2:$G$500))/C10</f>
        <v>0.36162634408602157</v>
      </c>
      <c r="E10" s="6">
        <f>IF(B10="2023 Q1", "N/A", D10-D9)</f>
        <v>6.1412013080548444E-3</v>
      </c>
      <c r="F10" s="6" t="str" cm="1">
        <f t="array" ref="F10">IF(LEFT(B10, 4)="2023", "N/A", D10 - INDEX($D$8:$D$39, MATCH(1, ($A$8:$A$39=A10) * ($B$8:$B$39=(LEFT(B10, 4)-1)&amp;RIGHT(B10, 3)), 0)))</f>
        <v>N/A</v>
      </c>
      <c r="G10" t="str">
        <f>IF(D10&gt;0.35, "Strong", IF(D10&gt;=0.2, "Moderate", "At Risk"))</f>
        <v>Strong</v>
      </c>
    </row>
    <row r="11" spans="1:8">
      <c r="A11" t="s">
        <v>10</v>
      </c>
      <c r="B11" t="s">
        <v>214</v>
      </c>
      <c r="C11" s="5">
        <f>SUMIFS('Raw Data'!E:E, 'Raw Data'!D:D, A11, 'Raw Data'!B:B, LEFT(B11,4), 'Raw Data'!C:C, RIGHT(B11,2))</f>
        <v>195263</v>
      </c>
      <c r="D11" s="6" cm="1">
        <f t="array" ref="D11">SUMPRODUCT(('Raw Data'!$D$2:$D$500=A11)*('Raw Data'!$B$2:$B$500&amp;" "&amp;'Raw Data'!$C$2:$C$500=B11)*('Raw Data'!$G$2:$G$500))/C11</f>
        <v>0.38824431663960912</v>
      </c>
      <c r="E11" s="6">
        <f>IF(B11="2023 Q1", "N/A", D11-D10)</f>
        <v>2.6617972553587554E-2</v>
      </c>
      <c r="F11" s="6" t="str" cm="1">
        <f t="array" ref="F11">IF(LEFT(B11, 4)="2023", "N/A", D11 - INDEX($D$8:$D$39, MATCH(1, ($A$8:$A$39=A11) * ($B$8:$B$39=(LEFT(B11, 4)-1)&amp;RIGHT(B11, 3)), 0)))</f>
        <v>N/A</v>
      </c>
      <c r="G11" t="str">
        <f>IF(D11&gt;0.35, "Strong", IF(D11&gt;=0.2, "Moderate", "At Risk"))</f>
        <v>Strong</v>
      </c>
    </row>
    <row r="12" spans="1:8">
      <c r="A12" t="s">
        <v>10</v>
      </c>
      <c r="B12" t="s">
        <v>215</v>
      </c>
      <c r="C12" s="5">
        <f>SUMIFS('Raw Data'!E:E, 'Raw Data'!D:D, A12, 'Raw Data'!B:B, LEFT(B12,4), 'Raw Data'!C:C, RIGHT(B12,2))</f>
        <v>230966</v>
      </c>
      <c r="D12" s="6" cm="1">
        <f t="array" ref="D12">SUMPRODUCT(('Raw Data'!$D$2:$D$500=A12)*('Raw Data'!$B$2:$B$500&amp;" "&amp;'Raw Data'!$C$2:$C$500=B12)*('Raw Data'!$G$2:$G$500))/C12</f>
        <v>0.39270096031450513</v>
      </c>
      <c r="E12" s="6">
        <f>IF(B12="2023 Q1", "N/A", D12-D11)</f>
        <v>4.4566436748960103E-3</v>
      </c>
      <c r="F12" s="6" cm="1">
        <f t="array" ref="F12">IF(LEFT(B12, 4)="2023", "N/A", D12 - INDEX($D$8:$D$39, MATCH(1, ($A$8:$A$39=A12) * ($B$8:$B$39=(LEFT(B12, 4)-1)&amp;RIGHT(B12, 3)), 0)))</f>
        <v>1.6393825681898178E-2</v>
      </c>
      <c r="G12" t="str">
        <f>IF(D12&gt;0.35, "Strong", IF(D12&gt;=0.2, "Moderate", "At Risk"))</f>
        <v>Strong</v>
      </c>
    </row>
    <row r="13" spans="1:8">
      <c r="A13" t="s">
        <v>10</v>
      </c>
      <c r="B13" t="s">
        <v>216</v>
      </c>
      <c r="C13" s="5">
        <f>SUMIFS('Raw Data'!E:E, 'Raw Data'!D:D, A13, 'Raw Data'!B:B, LEFT(B13,4), 'Raw Data'!C:C, RIGHT(B13,2))</f>
        <v>142170</v>
      </c>
      <c r="D13" s="6" cm="1">
        <f t="array" ref="D13">SUMPRODUCT(('Raw Data'!$D$2:$D$500=A13)*('Raw Data'!$B$2:$B$500&amp;" "&amp;'Raw Data'!$C$2:$C$500=B13)*('Raw Data'!$G$2:$G$500))/C13</f>
        <v>0.41061813322079205</v>
      </c>
      <c r="E13" s="6">
        <f>IF(B13="2023 Q1", "N/A", D13-D12)</f>
        <v>1.7917172906286916E-2</v>
      </c>
      <c r="F13" s="6" cm="1">
        <f t="array" ref="F13">IF(LEFT(B13, 4)="2023", "N/A", D13 - INDEX($D$8:$D$39, MATCH(1, ($A$8:$A$39=A13) * ($B$8:$B$39=(LEFT(B13, 4)-1)&amp;RIGHT(B13, 3)), 0)))</f>
        <v>5.5132990442825325E-2</v>
      </c>
      <c r="G13" t="str">
        <f>IF(D13&gt;0.35, "Strong", IF(D13&gt;=0.2, "Moderate", "At Risk"))</f>
        <v>Strong</v>
      </c>
    </row>
    <row r="14" spans="1:8">
      <c r="A14" t="s">
        <v>10</v>
      </c>
      <c r="B14" t="s">
        <v>217</v>
      </c>
      <c r="C14" s="5">
        <f>SUMIFS('Raw Data'!E:E, 'Raw Data'!D:D, A14, 'Raw Data'!B:B, LEFT(B14,4), 'Raw Data'!C:C, RIGHT(B14,2))</f>
        <v>196327</v>
      </c>
      <c r="D14" s="6" cm="1">
        <f t="array" ref="D14">SUMPRODUCT(('Raw Data'!$D$2:$D$500=A14)*('Raw Data'!$B$2:$B$500&amp;" "&amp;'Raw Data'!$C$2:$C$500=B14)*('Raw Data'!$G$2:$G$500))/C14</f>
        <v>0.40558333800241431</v>
      </c>
      <c r="E14" s="6">
        <f>IF(B14="2023 Q1", "N/A", D14-D13)</f>
        <v>-5.0347952183777411E-3</v>
      </c>
      <c r="F14" s="6" cm="1">
        <f t="array" ref="F14">IF(LEFT(B14, 4)="2023", "N/A", D14 - INDEX($D$8:$D$39, MATCH(1, ($A$8:$A$39=A14) * ($B$8:$B$39=(LEFT(B14, 4)-1)&amp;RIGHT(B14, 3)), 0)))</f>
        <v>4.3956993916392739E-2</v>
      </c>
      <c r="G14" t="str">
        <f>IF(D14&gt;0.35, "Strong", IF(D14&gt;=0.2, "Moderate", "At Risk"))</f>
        <v>Strong</v>
      </c>
    </row>
    <row r="15" spans="1:8">
      <c r="A15" t="s">
        <v>10</v>
      </c>
      <c r="B15" t="s">
        <v>218</v>
      </c>
      <c r="C15" s="5">
        <f>SUMIFS('Raw Data'!E:E, 'Raw Data'!D:D, A15, 'Raw Data'!B:B, LEFT(B15,4), 'Raw Data'!C:C, RIGHT(B15,2))</f>
        <v>156548</v>
      </c>
      <c r="D15" s="6" cm="1">
        <f t="array" ref="D15">SUMPRODUCT(('Raw Data'!$D$2:$D$500=A15)*('Raw Data'!$B$2:$B$500&amp;" "&amp;'Raw Data'!$C$2:$C$500=B15)*('Raw Data'!$G$2:$G$500))/C15</f>
        <v>0.3982755448808033</v>
      </c>
      <c r="E15" s="6">
        <f>IF(B15="2023 Q1", "N/A", D15-D14)</f>
        <v>-7.3077931216110059E-3</v>
      </c>
      <c r="F15" s="6" cm="1">
        <f t="array" ref="F15">IF(LEFT(B15, 4)="2023", "N/A", D15 - INDEX($D$8:$D$39, MATCH(1, ($A$8:$A$39=A15) * ($B$8:$B$39=(LEFT(B15, 4)-1)&amp;RIGHT(B15, 3)), 0)))</f>
        <v>1.0031228241194179E-2</v>
      </c>
      <c r="G15" t="str">
        <f>IF(D15&gt;0.35, "Strong", IF(D15&gt;=0.2, "Moderate", "At Risk"))</f>
        <v>Strong</v>
      </c>
    </row>
    <row r="16" spans="1:8">
      <c r="A16" t="s">
        <v>15</v>
      </c>
      <c r="B16" t="s">
        <v>211</v>
      </c>
      <c r="C16" s="5">
        <f>SUMIFS('Raw Data'!E:E, 'Raw Data'!D:D, A16, 'Raw Data'!B:B, LEFT(B16,4), 'Raw Data'!C:C, RIGHT(B16,2))</f>
        <v>71969</v>
      </c>
      <c r="D16" s="6" cm="1">
        <f t="array" ref="D16">SUMPRODUCT(('Raw Data'!$D$2:$D$500=A16)*('Raw Data'!$B$2:$B$500&amp;" "&amp;'Raw Data'!$C$2:$C$500=B16)*('Raw Data'!$G$2:$G$500))/C16</f>
        <v>0.26717364420792289</v>
      </c>
      <c r="E16" s="6" t="str">
        <f>IF(B16="2023 Q1", "N/A", D16-D15)</f>
        <v>N/A</v>
      </c>
      <c r="F16" s="6" t="str" cm="1">
        <f t="array" ref="F16">IF(LEFT(B16, 4)="2023", "N/A", D16 - INDEX($D$8:$D$39, MATCH(1, ($A$8:$A$39=A16) * ($B$8:$B$39=(LEFT(B16, 4)-1)&amp;RIGHT(B16, 3)), 0)))</f>
        <v>N/A</v>
      </c>
      <c r="G16" t="str">
        <f>IF(D16&gt;0.35, "Strong", IF(D16&gt;=0.2, "Moderate", "At Risk"))</f>
        <v>Moderate</v>
      </c>
    </row>
    <row r="17" spans="1:7">
      <c r="A17" t="s">
        <v>15</v>
      </c>
      <c r="B17" t="s">
        <v>212</v>
      </c>
      <c r="C17" s="5">
        <f>SUMIFS('Raw Data'!E:E, 'Raw Data'!D:D, A17, 'Raw Data'!B:B, LEFT(B17,4), 'Raw Data'!C:C, RIGHT(B17,2))</f>
        <v>88594</v>
      </c>
      <c r="D17" s="6" cm="1">
        <f t="array" ref="D17">SUMPRODUCT(('Raw Data'!$D$2:$D$500=A17)*('Raw Data'!$B$2:$B$500&amp;" "&amp;'Raw Data'!$C$2:$C$500=B17)*('Raw Data'!$G$2:$G$500))/C17</f>
        <v>0.26956881955888656</v>
      </c>
      <c r="E17" s="6">
        <f>IF(B17="2023 Q1", "N/A", D17-D16)</f>
        <v>2.3951753509636742E-3</v>
      </c>
      <c r="F17" s="6" t="str" cm="1">
        <f t="array" ref="F17">IF(LEFT(B17, 4)="2023", "N/A", D17 - INDEX($D$8:$D$39, MATCH(1, ($A$8:$A$39=A17) * ($B$8:$B$39=(LEFT(B17, 4)-1)&amp;RIGHT(B17, 3)), 0)))</f>
        <v>N/A</v>
      </c>
      <c r="G17" t="str">
        <f>IF(D17&gt;0.35, "Strong", IF(D17&gt;=0.2, "Moderate", "At Risk"))</f>
        <v>Moderate</v>
      </c>
    </row>
    <row r="18" spans="1:7">
      <c r="A18" t="s">
        <v>15</v>
      </c>
      <c r="B18" t="s">
        <v>213</v>
      </c>
      <c r="C18" s="5">
        <f>SUMIFS('Raw Data'!E:E, 'Raw Data'!D:D, A18, 'Raw Data'!B:B, LEFT(B18,4), 'Raw Data'!C:C, RIGHT(B18,2))</f>
        <v>122105</v>
      </c>
      <c r="D18" s="6" cm="1">
        <f t="array" ref="D18">SUMPRODUCT(('Raw Data'!$D$2:$D$500=A18)*('Raw Data'!$B$2:$B$500&amp;" "&amp;'Raw Data'!$C$2:$C$500=B18)*('Raw Data'!$G$2:$G$500))/C18</f>
        <v>0.27581990909463167</v>
      </c>
      <c r="E18" s="6">
        <f>IF(B18="2023 Q1", "N/A", D18-D17)</f>
        <v>6.2510895357451024E-3</v>
      </c>
      <c r="F18" s="6" t="str" cm="1">
        <f t="array" ref="F18">IF(LEFT(B18, 4)="2023", "N/A", D18 - INDEX($D$8:$D$39, MATCH(1, ($A$8:$A$39=A18) * ($B$8:$B$39=(LEFT(B18, 4)-1)&amp;RIGHT(B18, 3)), 0)))</f>
        <v>N/A</v>
      </c>
      <c r="G18" t="str">
        <f>IF(D18&gt;0.35, "Strong", IF(D18&gt;=0.2, "Moderate", "At Risk"))</f>
        <v>Moderate</v>
      </c>
    </row>
    <row r="19" spans="1:7">
      <c r="A19" t="s">
        <v>15</v>
      </c>
      <c r="B19" t="s">
        <v>214</v>
      </c>
      <c r="C19" s="5">
        <f>SUMIFS('Raw Data'!E:E, 'Raw Data'!D:D, A19, 'Raw Data'!B:B, LEFT(B19,4), 'Raw Data'!C:C, RIGHT(B19,2))</f>
        <v>151829</v>
      </c>
      <c r="D19" s="6" cm="1">
        <f t="array" ref="D19">SUMPRODUCT(('Raw Data'!$D$2:$D$500=A19)*('Raw Data'!$B$2:$B$500&amp;" "&amp;'Raw Data'!$C$2:$C$500=B19)*('Raw Data'!$G$2:$G$500))/C19</f>
        <v>0.29905670194758582</v>
      </c>
      <c r="E19" s="6">
        <f>IF(B19="2023 Q1", "N/A", D19-D18)</f>
        <v>2.3236792852954158E-2</v>
      </c>
      <c r="F19" s="6" t="str" cm="1">
        <f t="array" ref="F19">IF(LEFT(B19, 4)="2023", "N/A", D19 - INDEX($D$8:$D$39, MATCH(1, ($A$8:$A$39=A19) * ($B$8:$B$39=(LEFT(B19, 4)-1)&amp;RIGHT(B19, 3)), 0)))</f>
        <v>N/A</v>
      </c>
      <c r="G19" t="str">
        <f>IF(D19&gt;0.35, "Strong", IF(D19&gt;=0.2, "Moderate", "At Risk"))</f>
        <v>Moderate</v>
      </c>
    </row>
    <row r="20" spans="1:7">
      <c r="A20" t="s">
        <v>15</v>
      </c>
      <c r="B20" t="s">
        <v>215</v>
      </c>
      <c r="C20" s="5">
        <f>SUMIFS('Raw Data'!E:E, 'Raw Data'!D:D, A20, 'Raw Data'!B:B, LEFT(B20,4), 'Raw Data'!C:C, RIGHT(B20,2))</f>
        <v>96328</v>
      </c>
      <c r="D20" s="6" cm="1">
        <f t="array" ref="D20">SUMPRODUCT(('Raw Data'!$D$2:$D$500=A20)*('Raw Data'!$B$2:$B$500&amp;" "&amp;'Raw Data'!$C$2:$C$500=B20)*('Raw Data'!$G$2:$G$500))/C20</f>
        <v>0.29513703180798934</v>
      </c>
      <c r="E20" s="6">
        <f>IF(B20="2023 Q1", "N/A", D20-D19)</f>
        <v>-3.9196701395964872E-3</v>
      </c>
      <c r="F20" s="6" cm="1">
        <f t="array" ref="F20">IF(LEFT(B20, 4)="2023", "N/A", D20 - INDEX($D$8:$D$39, MATCH(1, ($A$8:$A$39=A20) * ($B$8:$B$39=(LEFT(B20, 4)-1)&amp;RIGHT(B20, 3)), 0)))</f>
        <v>2.7963387600066447E-2</v>
      </c>
      <c r="G20" t="str">
        <f>IF(D20&gt;0.35, "Strong", IF(D20&gt;=0.2, "Moderate", "At Risk"))</f>
        <v>Moderate</v>
      </c>
    </row>
    <row r="21" spans="1:7">
      <c r="A21" t="s">
        <v>15</v>
      </c>
      <c r="B21" t="s">
        <v>216</v>
      </c>
      <c r="C21" s="5">
        <f>SUMIFS('Raw Data'!E:E, 'Raw Data'!D:D, A21, 'Raw Data'!B:B, LEFT(B21,4), 'Raw Data'!C:C, RIGHT(B21,2))</f>
        <v>86702</v>
      </c>
      <c r="D21" s="6" cm="1">
        <f t="array" ref="D21">SUMPRODUCT(('Raw Data'!$D$2:$D$500=A21)*('Raw Data'!$B$2:$B$500&amp;" "&amp;'Raw Data'!$C$2:$C$500=B21)*('Raw Data'!$G$2:$G$500))/C21</f>
        <v>0.30790754538534293</v>
      </c>
      <c r="E21" s="6">
        <f>IF(B21="2023 Q1", "N/A", D21-D20)</f>
        <v>1.2770513577353593E-2</v>
      </c>
      <c r="F21" s="6" cm="1">
        <f t="array" ref="F21">IF(LEFT(B21, 4)="2023", "N/A", D21 - INDEX($D$8:$D$39, MATCH(1, ($A$8:$A$39=A21) * ($B$8:$B$39=(LEFT(B21, 4)-1)&amp;RIGHT(B21, 3)), 0)))</f>
        <v>3.8338725826456366E-2</v>
      </c>
      <c r="G21" t="str">
        <f>IF(D21&gt;0.35, "Strong", IF(D21&gt;=0.2, "Moderate", "At Risk"))</f>
        <v>Moderate</v>
      </c>
    </row>
    <row r="22" spans="1:7">
      <c r="A22" t="s">
        <v>15</v>
      </c>
      <c r="B22" t="s">
        <v>217</v>
      </c>
      <c r="C22" s="5">
        <f>SUMIFS('Raw Data'!E:E, 'Raw Data'!D:D, A22, 'Raw Data'!B:B, LEFT(B22,4), 'Raw Data'!C:C, RIGHT(B22,2))</f>
        <v>53111</v>
      </c>
      <c r="D22" s="6" cm="1">
        <f t="array" ref="D22">SUMPRODUCT(('Raw Data'!$D$2:$D$500=A22)*('Raw Data'!$B$2:$B$500&amp;" "&amp;'Raw Data'!$C$2:$C$500=B22)*('Raw Data'!$G$2:$G$500))/C22</f>
        <v>0.32837754890700604</v>
      </c>
      <c r="E22" s="6">
        <f>IF(B22="2023 Q1", "N/A", D22-D21)</f>
        <v>2.0470003521663116E-2</v>
      </c>
      <c r="F22" s="6" cm="1">
        <f t="array" ref="F22">IF(LEFT(B22, 4)="2023", "N/A", D22 - INDEX($D$8:$D$39, MATCH(1, ($A$8:$A$39=A22) * ($B$8:$B$39=(LEFT(B22, 4)-1)&amp;RIGHT(B22, 3)), 0)))</f>
        <v>5.2557639812374379E-2</v>
      </c>
      <c r="G22" t="str">
        <f>IF(D22&gt;0.35, "Strong", IF(D22&gt;=0.2, "Moderate", "At Risk"))</f>
        <v>Moderate</v>
      </c>
    </row>
    <row r="23" spans="1:7">
      <c r="A23" t="s">
        <v>15</v>
      </c>
      <c r="B23" t="s">
        <v>218</v>
      </c>
      <c r="C23" s="5">
        <f>SUMIFS('Raw Data'!E:E, 'Raw Data'!D:D, A23, 'Raw Data'!B:B, LEFT(B23,4), 'Raw Data'!C:C, RIGHT(B23,2))</f>
        <v>79096</v>
      </c>
      <c r="D23" s="6" cm="1">
        <f t="array" ref="D23">SUMPRODUCT(('Raw Data'!$D$2:$D$500=A23)*('Raw Data'!$B$2:$B$500&amp;" "&amp;'Raw Data'!$C$2:$C$500=B23)*('Raw Data'!$G$2:$G$500))/C23</f>
        <v>0.31844897339941336</v>
      </c>
      <c r="E23" s="6">
        <f>IF(B23="2023 Q1", "N/A", D23-D22)</f>
        <v>-9.9285755075926851E-3</v>
      </c>
      <c r="F23" s="6" cm="1">
        <f t="array" ref="F23">IF(LEFT(B23, 4)="2023", "N/A", D23 - INDEX($D$8:$D$39, MATCH(1, ($A$8:$A$39=A23) * ($B$8:$B$39=(LEFT(B23, 4)-1)&amp;RIGHT(B23, 3)), 0)))</f>
        <v>1.9392271451827536E-2</v>
      </c>
      <c r="G23" t="str">
        <f>IF(D23&gt;0.35, "Strong", IF(D23&gt;=0.2, "Moderate", "At Risk"))</f>
        <v>Moderate</v>
      </c>
    </row>
    <row r="24" spans="1:7">
      <c r="A24" t="s">
        <v>20</v>
      </c>
      <c r="B24" t="s">
        <v>211</v>
      </c>
      <c r="C24" s="5">
        <f>SUMIFS('Raw Data'!E:E, 'Raw Data'!D:D, A24, 'Raw Data'!B:B, LEFT(B24,4), 'Raw Data'!C:C, RIGHT(B24,2))</f>
        <v>107470</v>
      </c>
      <c r="D24" s="6" cm="1">
        <f t="array" ref="D24">SUMPRODUCT(('Raw Data'!$D$2:$D$500=A24)*('Raw Data'!$B$2:$B$500&amp;" "&amp;'Raw Data'!$C$2:$C$500=B24)*('Raw Data'!$G$2:$G$500))/C24</f>
        <v>0.39424927886852146</v>
      </c>
      <c r="E24" s="6" t="str">
        <f>IF(B24="2023 Q1", "N/A", D24-D23)</f>
        <v>N/A</v>
      </c>
      <c r="F24" s="6" t="str" cm="1">
        <f t="array" ref="F24">IF(LEFT(B24, 4)="2023", "N/A", D24 - INDEX($D$8:$D$39, MATCH(1, ($A$8:$A$39=A24) * ($B$8:$B$39=(LEFT(B24, 4)-1)&amp;RIGHT(B24, 3)), 0)))</f>
        <v>N/A</v>
      </c>
      <c r="G24" t="str">
        <f>IF(D24&gt;0.35, "Strong", IF(D24&gt;=0.2, "Moderate", "At Risk"))</f>
        <v>Strong</v>
      </c>
    </row>
    <row r="25" spans="1:7">
      <c r="A25" t="s">
        <v>20</v>
      </c>
      <c r="B25" t="s">
        <v>212</v>
      </c>
      <c r="C25" s="5">
        <f>SUMIFS('Raw Data'!E:E, 'Raw Data'!D:D, A25, 'Raw Data'!B:B, LEFT(B25,4), 'Raw Data'!C:C, RIGHT(B25,2))</f>
        <v>83323</v>
      </c>
      <c r="D25" s="6" cm="1">
        <f t="array" ref="D25">SUMPRODUCT(('Raw Data'!$D$2:$D$500=A25)*('Raw Data'!$B$2:$B$500&amp;" "&amp;'Raw Data'!$C$2:$C$500=B25)*('Raw Data'!$G$2:$G$500))/C25</f>
        <v>0.47396217130924229</v>
      </c>
      <c r="E25" s="6">
        <f>IF(B25="2023 Q1", "N/A", D25-D24)</f>
        <v>7.9712892440720828E-2</v>
      </c>
      <c r="F25" s="6" t="str" cm="1">
        <f t="array" ref="F25">IF(LEFT(B25, 4)="2023", "N/A", D25 - INDEX($D$8:$D$39, MATCH(1, ($A$8:$A$39=A25) * ($B$8:$B$39=(LEFT(B25, 4)-1)&amp;RIGHT(B25, 3)), 0)))</f>
        <v>N/A</v>
      </c>
      <c r="G25" t="str">
        <f>IF(D25&gt;0.35, "Strong", IF(D25&gt;=0.2, "Moderate", "At Risk"))</f>
        <v>Strong</v>
      </c>
    </row>
    <row r="26" spans="1:7">
      <c r="A26" t="s">
        <v>20</v>
      </c>
      <c r="B26" t="s">
        <v>213</v>
      </c>
      <c r="C26" s="5">
        <f>SUMIFS('Raw Data'!E:E, 'Raw Data'!D:D, A26, 'Raw Data'!B:B, LEFT(B26,4), 'Raw Data'!C:C, RIGHT(B26,2))</f>
        <v>63580</v>
      </c>
      <c r="D26" s="6" cm="1">
        <f t="array" ref="D26">SUMPRODUCT(('Raw Data'!$D$2:$D$500=A26)*('Raw Data'!$B$2:$B$500&amp;" "&amp;'Raw Data'!$C$2:$C$500=B26)*('Raw Data'!$G$2:$G$500))/C26</f>
        <v>0.44135011009751496</v>
      </c>
      <c r="E26" s="6">
        <f>IF(B26="2023 Q1", "N/A", D26-D25)</f>
        <v>-3.2612061211727328E-2</v>
      </c>
      <c r="F26" s="6" t="str" cm="1">
        <f t="array" ref="F26">IF(LEFT(B26, 4)="2023", "N/A", D26 - INDEX($D$8:$D$39, MATCH(1, ($A$8:$A$39=A26) * ($B$8:$B$39=(LEFT(B26, 4)-1)&amp;RIGHT(B26, 3)), 0)))</f>
        <v>N/A</v>
      </c>
      <c r="G26" t="str">
        <f>IF(D26&gt;0.35, "Strong", IF(D26&gt;=0.2, "Moderate", "At Risk"))</f>
        <v>Strong</v>
      </c>
    </row>
    <row r="27" spans="1:7">
      <c r="A27" t="s">
        <v>20</v>
      </c>
      <c r="B27" t="s">
        <v>214</v>
      </c>
      <c r="C27" s="5">
        <f>SUMIFS('Raw Data'!E:E, 'Raw Data'!D:D, A27, 'Raw Data'!B:B, LEFT(B27,4), 'Raw Data'!C:C, RIGHT(B27,2))</f>
        <v>43251</v>
      </c>
      <c r="D27" s="6" cm="1">
        <f t="array" ref="D27">SUMPRODUCT(('Raw Data'!$D$2:$D$500=A27)*('Raw Data'!$B$2:$B$500&amp;" "&amp;'Raw Data'!$C$2:$C$500=B27)*('Raw Data'!$G$2:$G$500))/C27</f>
        <v>0.39682712538438419</v>
      </c>
      <c r="E27" s="6">
        <f>IF(B27="2023 Q1", "N/A", D27-D26)</f>
        <v>-4.4522984713130764E-2</v>
      </c>
      <c r="F27" s="6" t="str" cm="1">
        <f t="array" ref="F27">IF(LEFT(B27, 4)="2023", "N/A", D27 - INDEX($D$8:$D$39, MATCH(1, ($A$8:$A$39=A27) * ($B$8:$B$39=(LEFT(B27, 4)-1)&amp;RIGHT(B27, 3)), 0)))</f>
        <v>N/A</v>
      </c>
      <c r="G27" t="str">
        <f>IF(D27&gt;0.35, "Strong", IF(D27&gt;=0.2, "Moderate", "At Risk"))</f>
        <v>Strong</v>
      </c>
    </row>
    <row r="28" spans="1:7">
      <c r="A28" t="s">
        <v>20</v>
      </c>
      <c r="B28" t="s">
        <v>215</v>
      </c>
      <c r="C28" s="5">
        <f>SUMIFS('Raw Data'!E:E, 'Raw Data'!D:D, A28, 'Raw Data'!B:B, LEFT(B28,4), 'Raw Data'!C:C, RIGHT(B28,2))</f>
        <v>106680</v>
      </c>
      <c r="D28" s="6" cm="1">
        <f t="array" ref="D28">SUMPRODUCT(('Raw Data'!$D$2:$D$500=A28)*('Raw Data'!$B$2:$B$500&amp;" "&amp;'Raw Data'!$C$2:$C$500=B28)*('Raw Data'!$G$2:$G$500))/C28</f>
        <v>0.42219206974128232</v>
      </c>
      <c r="E28" s="6">
        <f>IF(B28="2023 Q1", "N/A", D28-D27)</f>
        <v>2.5364944356898123E-2</v>
      </c>
      <c r="F28" s="6" cm="1">
        <f t="array" ref="F28">IF(LEFT(B28, 4)="2023", "N/A", D28 - INDEX($D$8:$D$39, MATCH(1, ($A$8:$A$39=A28) * ($B$8:$B$39=(LEFT(B28, 4)-1)&amp;RIGHT(B28, 3)), 0)))</f>
        <v>2.7942790872760859E-2</v>
      </c>
      <c r="G28" t="str">
        <f>IF(D28&gt;0.35, "Strong", IF(D28&gt;=0.2, "Moderate", "At Risk"))</f>
        <v>Strong</v>
      </c>
    </row>
    <row r="29" spans="1:7">
      <c r="A29" t="s">
        <v>20</v>
      </c>
      <c r="B29" t="s">
        <v>216</v>
      </c>
      <c r="C29" s="5">
        <f>SUMIFS('Raw Data'!E:E, 'Raw Data'!D:D, A29, 'Raw Data'!B:B, LEFT(B29,4), 'Raw Data'!C:C, RIGHT(B29,2))</f>
        <v>59259</v>
      </c>
      <c r="D29" s="6" cm="1">
        <f t="array" ref="D29">SUMPRODUCT(('Raw Data'!$D$2:$D$500=A29)*('Raw Data'!$B$2:$B$500&amp;" "&amp;'Raw Data'!$C$2:$C$500=B29)*('Raw Data'!$G$2:$G$500))/C29</f>
        <v>0.50069339678361102</v>
      </c>
      <c r="E29" s="6">
        <f>IF(B29="2023 Q1", "N/A", D29-D28)</f>
        <v>7.8501327042328706E-2</v>
      </c>
      <c r="F29" s="6" cm="1">
        <f t="array" ref="F29">IF(LEFT(B29, 4)="2023", "N/A", D29 - INDEX($D$8:$D$39, MATCH(1, ($A$8:$A$39=A29) * ($B$8:$B$39=(LEFT(B29, 4)-1)&amp;RIGHT(B29, 3)), 0)))</f>
        <v>2.6731225474368736E-2</v>
      </c>
      <c r="G29" t="str">
        <f>IF(D29&gt;0.35, "Strong", IF(D29&gt;=0.2, "Moderate", "At Risk"))</f>
        <v>Strong</v>
      </c>
    </row>
    <row r="30" spans="1:7">
      <c r="A30" t="s">
        <v>20</v>
      </c>
      <c r="B30" t="s">
        <v>217</v>
      </c>
      <c r="C30" s="5">
        <f>SUMIFS('Raw Data'!E:E, 'Raw Data'!D:D, A30, 'Raw Data'!B:B, LEFT(B30,4), 'Raw Data'!C:C, RIGHT(B30,2))</f>
        <v>58225</v>
      </c>
      <c r="D30" s="6" cm="1">
        <f t="array" ref="D30">SUMPRODUCT(('Raw Data'!$D$2:$D$500=A30)*('Raw Data'!$B$2:$B$500&amp;" "&amp;'Raw Data'!$C$2:$C$500=B30)*('Raw Data'!$G$2:$G$500))/C30</f>
        <v>0.44809205667668522</v>
      </c>
      <c r="E30" s="6">
        <f>IF(B30="2023 Q1", "N/A", D30-D29)</f>
        <v>-5.2601340106925798E-2</v>
      </c>
      <c r="F30" s="6" cm="1">
        <f t="array" ref="F30">IF(LEFT(B30, 4)="2023", "N/A", D30 - INDEX($D$8:$D$39, MATCH(1, ($A$8:$A$39=A30) * ($B$8:$B$39=(LEFT(B30, 4)-1)&amp;RIGHT(B30, 3)), 0)))</f>
        <v>6.741946579170266E-3</v>
      </c>
      <c r="G30" t="str">
        <f>IF(D30&gt;0.35, "Strong", IF(D30&gt;=0.2, "Moderate", "At Risk"))</f>
        <v>Strong</v>
      </c>
    </row>
    <row r="31" spans="1:7">
      <c r="A31" t="s">
        <v>20</v>
      </c>
      <c r="B31" t="s">
        <v>218</v>
      </c>
      <c r="C31" s="5">
        <f>SUMIFS('Raw Data'!E:E, 'Raw Data'!D:D, A31, 'Raw Data'!B:B, LEFT(B31,4), 'Raw Data'!C:C, RIGHT(B31,2))</f>
        <v>64804</v>
      </c>
      <c r="D31" s="6" cm="1">
        <f t="array" ref="D31">SUMPRODUCT(('Raw Data'!$D$2:$D$500=A31)*('Raw Data'!$B$2:$B$500&amp;" "&amp;'Raw Data'!$C$2:$C$500=B31)*('Raw Data'!$G$2:$G$500))/C31</f>
        <v>0.50698814887969879</v>
      </c>
      <c r="E31" s="6">
        <f>IF(B31="2023 Q1", "N/A", D31-D30)</f>
        <v>5.8896092203013561E-2</v>
      </c>
      <c r="F31" s="6" cm="1">
        <f t="array" ref="F31">IF(LEFT(B31, 4)="2023", "N/A", D31 - INDEX($D$8:$D$39, MATCH(1, ($A$8:$A$39=A31) * ($B$8:$B$39=(LEFT(B31, 4)-1)&amp;RIGHT(B31, 3)), 0)))</f>
        <v>0.11016102349531459</v>
      </c>
      <c r="G31" t="str">
        <f>IF(D31&gt;0.35, "Strong", IF(D31&gt;=0.2, "Moderate", "At Risk"))</f>
        <v>Strong</v>
      </c>
    </row>
    <row r="32" spans="1:7">
      <c r="A32" t="s">
        <v>29</v>
      </c>
      <c r="B32" t="s">
        <v>211</v>
      </c>
      <c r="C32" s="5">
        <f>SUMIFS('Raw Data'!E:E, 'Raw Data'!D:D, A32, 'Raw Data'!B:B, LEFT(B32,4), 'Raw Data'!C:C, RIGHT(B32,2))</f>
        <v>30131</v>
      </c>
      <c r="D32" s="6" cm="1">
        <f t="array" ref="D32">SUMPRODUCT(('Raw Data'!$D$2:$D$500=A32)*('Raw Data'!$B$2:$B$500&amp;" "&amp;'Raw Data'!$C$2:$C$500=B32)*('Raw Data'!$G$2:$G$500))/C32</f>
        <v>0.18221599017623047</v>
      </c>
      <c r="E32" s="6" t="str">
        <f>IF(B32="2023 Q1", "N/A", D32-D31)</f>
        <v>N/A</v>
      </c>
      <c r="F32" s="6" t="str" cm="1">
        <f t="array" ref="F32">IF(LEFT(B32, 4)="2023", "N/A", D32 - INDEX($D$8:$D$39, MATCH(1, ($A$8:$A$39=A32) * ($B$8:$B$39=(LEFT(B32, 4)-1)&amp;RIGHT(B32, 3)), 0)))</f>
        <v>N/A</v>
      </c>
      <c r="G32" t="str">
        <f>IF(D32&gt;0.35, "Strong", IF(D32&gt;=0.2, "Moderate", "At Risk"))</f>
        <v>At Risk</v>
      </c>
    </row>
    <row r="33" spans="1:7">
      <c r="A33" t="s">
        <v>29</v>
      </c>
      <c r="B33" t="s">
        <v>212</v>
      </c>
      <c r="C33" s="5">
        <f>SUMIFS('Raw Data'!E:E, 'Raw Data'!D:D, A33, 'Raw Data'!B:B, LEFT(B33,4), 'Raw Data'!C:C, RIGHT(B33,2))</f>
        <v>40638</v>
      </c>
      <c r="D33" s="6" cm="1">
        <f t="array" ref="D33">SUMPRODUCT(('Raw Data'!$D$2:$D$500=A33)*('Raw Data'!$B$2:$B$500&amp;" "&amp;'Raw Data'!$C$2:$C$500=B33)*('Raw Data'!$G$2:$G$500))/C33</f>
        <v>0.18293272306708008</v>
      </c>
      <c r="E33" s="6">
        <f>IF(B33="2023 Q1", "N/A", D33-D32)</f>
        <v>7.16732890849614E-4</v>
      </c>
      <c r="F33" s="6" t="str" cm="1">
        <f t="array" ref="F33">IF(LEFT(B33, 4)="2023", "N/A", D33 - INDEX($D$8:$D$39, MATCH(1, ($A$8:$A$39=A33) * ($B$8:$B$39=(LEFT(B33, 4)-1)&amp;RIGHT(B33, 3)), 0)))</f>
        <v>N/A</v>
      </c>
      <c r="G33" t="str">
        <f>IF(D33&gt;0.35, "Strong", IF(D33&gt;=0.2, "Moderate", "At Risk"))</f>
        <v>At Risk</v>
      </c>
    </row>
    <row r="34" spans="1:7">
      <c r="A34" t="s">
        <v>29</v>
      </c>
      <c r="B34" t="s">
        <v>213</v>
      </c>
      <c r="C34" s="5">
        <f>SUMIFS('Raw Data'!E:E, 'Raw Data'!D:D, A34, 'Raw Data'!B:B, LEFT(B34,4), 'Raw Data'!C:C, RIGHT(B34,2))</f>
        <v>29595</v>
      </c>
      <c r="D34" s="6" cm="1">
        <f t="array" ref="D34">SUMPRODUCT(('Raw Data'!$D$2:$D$500=A34)*('Raw Data'!$B$2:$B$500&amp;" "&amp;'Raw Data'!$C$2:$C$500=B34)*('Raw Data'!$G$2:$G$500))/C34</f>
        <v>0.17840851495184998</v>
      </c>
      <c r="E34" s="6">
        <f>IF(B34="2023 Q1", "N/A", D34-D33)</f>
        <v>-4.524208115230105E-3</v>
      </c>
      <c r="F34" s="6" t="str" cm="1">
        <f t="array" ref="F34">IF(LEFT(B34, 4)="2023", "N/A", D34 - INDEX($D$8:$D$39, MATCH(1, ($A$8:$A$39=A34) * ($B$8:$B$39=(LEFT(B34, 4)-1)&amp;RIGHT(B34, 3)), 0)))</f>
        <v>N/A</v>
      </c>
      <c r="G34" t="str">
        <f>IF(D34&gt;0.35, "Strong", IF(D34&gt;=0.2, "Moderate", "At Risk"))</f>
        <v>At Risk</v>
      </c>
    </row>
    <row r="35" spans="1:7">
      <c r="A35" t="s">
        <v>29</v>
      </c>
      <c r="B35" t="s">
        <v>214</v>
      </c>
      <c r="C35" s="5">
        <f>SUMIFS('Raw Data'!E:E, 'Raw Data'!D:D, A35, 'Raw Data'!B:B, LEFT(B35,4), 'Raw Data'!C:C, RIGHT(B35,2))</f>
        <v>12873</v>
      </c>
      <c r="D35" s="6" cm="1">
        <f t="array" ref="D35">SUMPRODUCT(('Raw Data'!$D$2:$D$500=A35)*('Raw Data'!$B$2:$B$500&amp;" "&amp;'Raw Data'!$C$2:$C$500=B35)*('Raw Data'!$G$2:$G$500))/C35</f>
        <v>0.19335275382583703</v>
      </c>
      <c r="E35" s="6">
        <f>IF(B35="2023 Q1", "N/A", D35-D34)</f>
        <v>1.4944238873987048E-2</v>
      </c>
      <c r="F35" s="6" t="str" cm="1">
        <f t="array" ref="F35">IF(LEFT(B35, 4)="2023", "N/A", D35 - INDEX($D$8:$D$39, MATCH(1, ($A$8:$A$39=A35) * ($B$8:$B$39=(LEFT(B35, 4)-1)&amp;RIGHT(B35, 3)), 0)))</f>
        <v>N/A</v>
      </c>
      <c r="G35" t="str">
        <f>IF(D35&gt;0.35, "Strong", IF(D35&gt;=0.2, "Moderate", "At Risk"))</f>
        <v>At Risk</v>
      </c>
    </row>
    <row r="36" spans="1:7">
      <c r="A36" t="s">
        <v>29</v>
      </c>
      <c r="B36" t="s">
        <v>215</v>
      </c>
      <c r="C36" s="5">
        <f>SUMIFS('Raw Data'!E:E, 'Raw Data'!D:D, A36, 'Raw Data'!B:B, LEFT(B36,4), 'Raw Data'!C:C, RIGHT(B36,2))</f>
        <v>38208</v>
      </c>
      <c r="D36" s="6" cm="1">
        <f t="array" ref="D36">SUMPRODUCT(('Raw Data'!$D$2:$D$500=A36)*('Raw Data'!$B$2:$B$500&amp;" "&amp;'Raw Data'!$C$2:$C$500=B36)*('Raw Data'!$G$2:$G$500))/C36</f>
        <v>0.19668577261306536</v>
      </c>
      <c r="E36" s="6">
        <f>IF(B36="2023 Q1", "N/A", D36-D35)</f>
        <v>3.3330187872283312E-3</v>
      </c>
      <c r="F36" s="6" cm="1">
        <f t="array" ref="F36">IF(LEFT(B36, 4)="2023", "N/A", D36 - INDEX($D$8:$D$39, MATCH(1, ($A$8:$A$39=A36) * ($B$8:$B$39=(LEFT(B36, 4)-1)&amp;RIGHT(B36, 3)), 0)))</f>
        <v>1.4469782436834888E-2</v>
      </c>
      <c r="G36" t="str">
        <f>IF(D36&gt;0.35, "Strong", IF(D36&gt;=0.2, "Moderate", "At Risk"))</f>
        <v>At Risk</v>
      </c>
    </row>
    <row r="37" spans="1:7">
      <c r="A37" t="s">
        <v>29</v>
      </c>
      <c r="B37" t="s">
        <v>216</v>
      </c>
      <c r="C37" s="5">
        <f>SUMIFS('Raw Data'!E:E, 'Raw Data'!D:D, A37, 'Raw Data'!B:B, LEFT(B37,4), 'Raw Data'!C:C, RIGHT(B37,2))</f>
        <v>21110</v>
      </c>
      <c r="D37" s="6" cm="1">
        <f t="array" ref="D37">SUMPRODUCT(('Raw Data'!$D$2:$D$500=A37)*('Raw Data'!$B$2:$B$500&amp;" "&amp;'Raw Data'!$C$2:$C$500=B37)*('Raw Data'!$G$2:$G$500))/C37</f>
        <v>0.21247086688773095</v>
      </c>
      <c r="E37" s="6">
        <f>IF(B37="2023 Q1", "N/A", D37-D36)</f>
        <v>1.5785094274665595E-2</v>
      </c>
      <c r="F37" s="6" cm="1">
        <f t="array" ref="F37">IF(LEFT(B37, 4)="2023", "N/A", D37 - INDEX($D$8:$D$39, MATCH(1, ($A$8:$A$39=A37) * ($B$8:$B$39=(LEFT(B37, 4)-1)&amp;RIGHT(B37, 3)), 0)))</f>
        <v>2.953814382065087E-2</v>
      </c>
      <c r="G37" t="str">
        <f>IF(D37&gt;0.35, "Strong", IF(D37&gt;=0.2, "Moderate", "At Risk"))</f>
        <v>Moderate</v>
      </c>
    </row>
    <row r="38" spans="1:7">
      <c r="A38" t="s">
        <v>29</v>
      </c>
      <c r="B38" t="s">
        <v>217</v>
      </c>
      <c r="C38" s="5">
        <f>SUMIFS('Raw Data'!E:E, 'Raw Data'!D:D, A38, 'Raw Data'!B:B, LEFT(B38,4), 'Raw Data'!C:C, RIGHT(B38,2))</f>
        <v>18973</v>
      </c>
      <c r="D38" s="6" cm="1">
        <f t="array" ref="D38">SUMPRODUCT(('Raw Data'!$D$2:$D$500=A38)*('Raw Data'!$B$2:$B$500&amp;" "&amp;'Raw Data'!$C$2:$C$500=B38)*('Raw Data'!$G$2:$G$500))/C38</f>
        <v>0.21671744057344652</v>
      </c>
      <c r="E38" s="6">
        <f>IF(B38="2023 Q1", "N/A", D38-D37)</f>
        <v>4.2465736857155711E-3</v>
      </c>
      <c r="F38" s="6" cm="1">
        <f t="array" ref="F38">IF(LEFT(B38, 4)="2023", "N/A", D38 - INDEX($D$8:$D$39, MATCH(1, ($A$8:$A$39=A38) * ($B$8:$B$39=(LEFT(B38, 4)-1)&amp;RIGHT(B38, 3)), 0)))</f>
        <v>3.8308925621596546E-2</v>
      </c>
      <c r="G38" t="str">
        <f>IF(D38&gt;0.35, "Strong", IF(D38&gt;=0.2, "Moderate", "At Risk"))</f>
        <v>Moderate</v>
      </c>
    </row>
    <row r="39" spans="1:7">
      <c r="A39" t="s">
        <v>29</v>
      </c>
      <c r="B39" t="s">
        <v>218</v>
      </c>
      <c r="C39" s="5">
        <f>SUMIFS('Raw Data'!E:E, 'Raw Data'!D:D, A39, 'Raw Data'!B:B, LEFT(B39,4), 'Raw Data'!C:C, RIGHT(B39,2))</f>
        <v>35036</v>
      </c>
      <c r="D39" s="6" cm="1">
        <f t="array" ref="D39">SUMPRODUCT(('Raw Data'!$D$2:$D$500=A39)*('Raw Data'!$B$2:$B$500&amp;" "&amp;'Raw Data'!$C$2:$C$500=B39)*('Raw Data'!$G$2:$G$500))/C39</f>
        <v>0.18999657495147845</v>
      </c>
      <c r="E39" s="6">
        <f>IF(B39="2023 Q1", "N/A", D39-D38)</f>
        <v>-2.6720865621968071E-2</v>
      </c>
      <c r="F39" s="6" cm="1">
        <f t="array" ref="F39">IF(LEFT(B39, 4)="2023", "N/A", D39 - INDEX($D$8:$D$39, MATCH(1, ($A$8:$A$39=A39) * ($B$8:$B$39=(LEFT(B39, 4)-1)&amp;RIGHT(B39, 3)), 0)))</f>
        <v>-3.356178874358573E-3</v>
      </c>
      <c r="G39" t="str">
        <f>IF(D39&gt;0.35, "Strong", IF(D39&gt;=0.2, "Moderate", "At Risk"))</f>
        <v>At Risk</v>
      </c>
    </row>
    <row r="42" spans="1:7">
      <c r="A42" t="s">
        <v>219</v>
      </c>
    </row>
    <row r="43" spans="1:7">
      <c r="A43" s="3" t="s">
        <v>2</v>
      </c>
      <c r="B43" t="s">
        <v>10</v>
      </c>
      <c r="C43" t="s">
        <v>15</v>
      </c>
      <c r="D43" t="s">
        <v>20</v>
      </c>
      <c r="E43" t="s">
        <v>29</v>
      </c>
      <c r="F43" t="s">
        <v>206</v>
      </c>
    </row>
    <row r="44" spans="1:7">
      <c r="A44" s="7" t="s">
        <v>211</v>
      </c>
      <c r="B44" s="9" cm="1">
        <f t="array" ref="B44">SUMPRODUCT(($A$8:$A$39=B$43)*($B$8:$B$39=$A44)*($D$8:$D$39))</f>
        <v>0.37630713463260695</v>
      </c>
      <c r="C44" s="9" cm="1">
        <f t="array" ref="C44">SUMPRODUCT(($A$8:$A$39=C$43)*($B$8:$B$39=$A44)*($D$8:$D$39))</f>
        <v>0.26717364420792289</v>
      </c>
      <c r="D44" s="9" cm="1">
        <f t="array" ref="D44">SUMPRODUCT(($A$8:$A$39=D$43)*($B$8:$B$39=$A44)*($D$8:$D$39))</f>
        <v>0.39424927886852146</v>
      </c>
      <c r="E44" s="9" cm="1">
        <f t="array" ref="E44">SUMPRODUCT(($A$8:$A$39=E$43)*($B$8:$B$39=$A44)*($D$8:$D$39))</f>
        <v>0.18221599017623047</v>
      </c>
      <c r="F44" s="8"/>
      <c r="G44" s="8"/>
    </row>
    <row r="45" spans="1:7">
      <c r="A45" t="s">
        <v>212</v>
      </c>
      <c r="B45" s="6" cm="1">
        <f t="array" ref="B45">SUMPRODUCT(($A$8:$A$39=B$43)*($B$8:$B$39=$A45)*($D$8:$D$39))</f>
        <v>0.35548514277796672</v>
      </c>
      <c r="C45" s="6" cm="1">
        <f t="array" ref="C45">SUMPRODUCT(($A$8:$A$39=C$43)*($B$8:$B$39=$A45)*($D$8:$D$39))</f>
        <v>0.26956881955888656</v>
      </c>
      <c r="D45" s="6" cm="1">
        <f t="array" ref="D45">SUMPRODUCT(($A$8:$A$39=D$43)*($B$8:$B$39=$A45)*($D$8:$D$39))</f>
        <v>0.47396217130924229</v>
      </c>
      <c r="E45" s="6" cm="1">
        <f t="array" ref="E45">SUMPRODUCT(($A$8:$A$39=E$43)*($B$8:$B$39=$A45)*($D$8:$D$39))</f>
        <v>0.18293272306708008</v>
      </c>
      <c r="F45">
        <f>SUMIF($B$8:$B$39, $A45, $C$8:$C$39)</f>
        <v>371333</v>
      </c>
    </row>
    <row r="46" spans="1:7">
      <c r="A46" t="s">
        <v>213</v>
      </c>
      <c r="B46" s="6" cm="1">
        <f t="array" ref="B46">SUMPRODUCT(($A$8:$A$39=B$43)*($B$8:$B$39=$A46)*($D$8:$D$39))</f>
        <v>0.36162634408602157</v>
      </c>
      <c r="C46" s="6" cm="1">
        <f t="array" ref="C46">SUMPRODUCT(($A$8:$A$39=C$43)*($B$8:$B$39=$A46)*($D$8:$D$39))</f>
        <v>0.27581990909463167</v>
      </c>
      <c r="D46" s="6" cm="1">
        <f t="array" ref="D46">SUMPRODUCT(($A$8:$A$39=D$43)*($B$8:$B$39=$A46)*($D$8:$D$39))</f>
        <v>0.44135011009751496</v>
      </c>
      <c r="E46" s="6" cm="1">
        <f t="array" ref="E46">SUMPRODUCT(($A$8:$A$39=E$43)*($B$8:$B$39=$A46)*($D$8:$D$39))</f>
        <v>0.17840851495184998</v>
      </c>
      <c r="F46">
        <f>SUMIF($B$8:$B$39, $A46, $C$8:$C$39)</f>
        <v>354408</v>
      </c>
    </row>
    <row r="47" spans="1:7">
      <c r="A47" t="s">
        <v>214</v>
      </c>
      <c r="B47" s="6" cm="1">
        <f t="array" ref="B47">SUMPRODUCT(($A$8:$A$39=B$43)*($B$8:$B$39=$A47)*($D$8:$D$39))</f>
        <v>0.38824431663960912</v>
      </c>
      <c r="C47" s="6" cm="1">
        <f t="array" ref="C47">SUMPRODUCT(($A$8:$A$39=C$43)*($B$8:$B$39=$A47)*($D$8:$D$39))</f>
        <v>0.29905670194758582</v>
      </c>
      <c r="D47" s="6" cm="1">
        <f t="array" ref="D47">SUMPRODUCT(($A$8:$A$39=D$43)*($B$8:$B$39=$A47)*($D$8:$D$39))</f>
        <v>0.39682712538438419</v>
      </c>
      <c r="E47" s="6" cm="1">
        <f t="array" ref="E47">SUMPRODUCT(($A$8:$A$39=E$43)*($B$8:$B$39=$A47)*($D$8:$D$39))</f>
        <v>0.19335275382583703</v>
      </c>
      <c r="F47">
        <f>SUMIF($B$8:$B$39, $A47, $C$8:$C$39)</f>
        <v>403216</v>
      </c>
    </row>
    <row r="48" spans="1:7">
      <c r="A48" t="s">
        <v>215</v>
      </c>
      <c r="B48" s="6" cm="1">
        <f t="array" ref="B48">SUMPRODUCT(($A$8:$A$39=B$43)*($B$8:$B$39=$A48)*($D$8:$D$39))</f>
        <v>0.39270096031450513</v>
      </c>
      <c r="C48" s="6" cm="1">
        <f t="array" ref="C48">SUMPRODUCT(($A$8:$A$39=C$43)*($B$8:$B$39=$A48)*($D$8:$D$39))</f>
        <v>0.29513703180798934</v>
      </c>
      <c r="D48" s="6" cm="1">
        <f t="array" ref="D48">SUMPRODUCT(($A$8:$A$39=D$43)*($B$8:$B$39=$A48)*($D$8:$D$39))</f>
        <v>0.42219206974128232</v>
      </c>
      <c r="E48" s="6" cm="1">
        <f t="array" ref="E48">SUMPRODUCT(($A$8:$A$39=E$43)*($B$8:$B$39=$A48)*($D$8:$D$39))</f>
        <v>0.19668577261306536</v>
      </c>
      <c r="F48">
        <f>SUMIF($B$8:$B$39, $A48, $C$8:$C$39)</f>
        <v>472182</v>
      </c>
    </row>
    <row r="49" spans="1:6">
      <c r="A49" t="s">
        <v>216</v>
      </c>
      <c r="B49" s="6" cm="1">
        <f t="array" ref="B49">SUMPRODUCT(($A$8:$A$39=B$43)*($B$8:$B$39=$A49)*($D$8:$D$39))</f>
        <v>0.41061813322079205</v>
      </c>
      <c r="C49" s="6" cm="1">
        <f t="array" ref="C49">SUMPRODUCT(($A$8:$A$39=C$43)*($B$8:$B$39=$A49)*($D$8:$D$39))</f>
        <v>0.30790754538534293</v>
      </c>
      <c r="D49" s="6" cm="1">
        <f t="array" ref="D49">SUMPRODUCT(($A$8:$A$39=D$43)*($B$8:$B$39=$A49)*($D$8:$D$39))</f>
        <v>0.50069339678361102</v>
      </c>
      <c r="E49" s="6" cm="1">
        <f t="array" ref="E49">SUMPRODUCT(($A$8:$A$39=E$43)*($B$8:$B$39=$A49)*($D$8:$D$39))</f>
        <v>0.21247086688773095</v>
      </c>
      <c r="F49">
        <f>SUMIF($B$8:$B$39, $A49, $C$8:$C$39)</f>
        <v>309241</v>
      </c>
    </row>
    <row r="50" spans="1:6">
      <c r="A50" t="s">
        <v>217</v>
      </c>
      <c r="B50" s="6" cm="1">
        <f t="array" ref="B50">SUMPRODUCT(($A$8:$A$39=B$43)*($B$8:$B$39=$A50)*($D$8:$D$39))</f>
        <v>0.40558333800241431</v>
      </c>
      <c r="C50" s="6" cm="1">
        <f t="array" ref="C50">SUMPRODUCT(($A$8:$A$39=C$43)*($B$8:$B$39=$A50)*($D$8:$D$39))</f>
        <v>0.32837754890700604</v>
      </c>
      <c r="D50" s="6" cm="1">
        <f t="array" ref="D50">SUMPRODUCT(($A$8:$A$39=D$43)*($B$8:$B$39=$A50)*($D$8:$D$39))</f>
        <v>0.44809205667668522</v>
      </c>
      <c r="E50" s="6" cm="1">
        <f t="array" ref="E50">SUMPRODUCT(($A$8:$A$39=E$43)*($B$8:$B$39=$A50)*($D$8:$D$39))</f>
        <v>0.21671744057344652</v>
      </c>
      <c r="F50">
        <f>SUMIF($B$8:$B$39, $A50, $C$8:$C$39)</f>
        <v>326636</v>
      </c>
    </row>
    <row r="51" spans="1:6">
      <c r="A51" t="s">
        <v>218</v>
      </c>
      <c r="B51" s="6" cm="1">
        <f t="array" ref="B51">SUMPRODUCT(($A$8:$A$39=B$43)*($B$8:$B$39=$A51)*($D$8:$D$39))</f>
        <v>0.3982755448808033</v>
      </c>
      <c r="C51" s="6" cm="1">
        <f t="array" ref="C51">SUMPRODUCT(($A$8:$A$39=C$43)*($B$8:$B$39=$A51)*($D$8:$D$39))</f>
        <v>0.31844897339941336</v>
      </c>
      <c r="D51" s="6" cm="1">
        <f t="array" ref="D51">SUMPRODUCT(($A$8:$A$39=D$43)*($B$8:$B$39=$A51)*($D$8:$D$39))</f>
        <v>0.50698814887969879</v>
      </c>
      <c r="E51" s="6" cm="1">
        <f t="array" ref="E51">SUMPRODUCT(($A$8:$A$39=E$43)*($B$8:$B$39=$A51)*($D$8:$D$39))</f>
        <v>0.18999657495147845</v>
      </c>
      <c r="F51">
        <f>SUMIF($B$8:$B$39, $A51, $C$8:$C$39)</f>
        <v>335484</v>
      </c>
    </row>
  </sheetData>
  <mergeCells count="3">
    <mergeCell ref="A3:H3"/>
    <mergeCell ref="A44:G44"/>
    <mergeCell ref="A1:H1"/>
  </mergeCells>
  <conditionalFormatting sqref="G8:G39">
    <cfRule type="cellIs" dxfId="2" priority="1" operator="equal">
      <formula>"Strong"</formula>
    </cfRule>
  </conditionalFormatting>
  <conditionalFormatting sqref="G8:G39">
    <cfRule type="cellIs" dxfId="1" priority="2" operator="equal">
      <formula>"Moderate"</formula>
    </cfRule>
  </conditionalFormatting>
  <conditionalFormatting sqref="G8:G39">
    <cfRule type="cellIs" dxfId="0" priority="3" operator="equal">
      <formula>"At Risk"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2026-01-09T05:26:29Z</dcterms:created>
  <dcterms:modified xsi:type="dcterms:W3CDTF">2026-04-27T09:43:38Z</dcterms:modified>
  <cp:category/>
  <cp:contentStatus/>
</cp:coreProperties>
</file>